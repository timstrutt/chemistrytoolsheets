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mc:AlternateContent xmlns:mc="http://schemas.openxmlformats.org/markup-compatibility/2006">
    <mc:Choice Requires="x15">
      <x15ac:absPath xmlns:x15ac="http://schemas.microsoft.com/office/spreadsheetml/2010/11/ac" url="C:\Users\tim\Desktop\"/>
    </mc:Choice>
  </mc:AlternateContent>
  <xr:revisionPtr revIDLastSave="34" documentId="11_56CD36E90A4EEFEBC2EB98F089B0D10D71361D3C" xr6:coauthVersionLast="47" xr6:coauthVersionMax="47" xr10:uidLastSave="{4FA49EF4-1D68-478E-9030-7A8E9F11B760}"/>
  <bookViews>
    <workbookView xWindow="0" yWindow="38" windowWidth="15960" windowHeight="18083" firstSheet="1" activeTab="5" xr2:uid="{00000000-000D-0000-FFFF-FFFF00000000}"/>
  </bookViews>
  <sheets>
    <sheet name="MainTable" sheetId="1" r:id="rId1"/>
    <sheet name="SampleResults" sheetId="2" r:id="rId2"/>
    <sheet name="Report" sheetId="3" r:id="rId3"/>
    <sheet name="Distributions" sheetId="4" r:id="rId4"/>
    <sheet name="Units" sheetId="5" r:id="rId5"/>
    <sheet name="Note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3" l="1"/>
  <c r="A30" i="3"/>
  <c r="A26" i="3"/>
  <c r="A22" i="3"/>
  <c r="B21" i="3"/>
  <c r="B17" i="3"/>
  <c r="A21" i="3" s="1"/>
  <c r="B15" i="3"/>
  <c r="B46" i="1"/>
  <c r="B38" i="1"/>
  <c r="A32" i="1"/>
  <c r="B27" i="1"/>
  <c r="B24" i="1"/>
  <c r="B32" i="1" s="1"/>
  <c r="A19" i="1"/>
  <c r="B18" i="1"/>
  <c r="B17" i="1"/>
  <c r="B14" i="1"/>
  <c r="B15" i="1" s="1"/>
  <c r="A8" i="1"/>
  <c r="A2" i="3" l="1"/>
  <c r="A17" i="3"/>
  <c r="A18" i="3"/>
  <c r="A20" i="3"/>
  <c r="B35" i="1"/>
  <c r="B13" i="1"/>
  <c r="B25" i="1"/>
  <c r="B30" i="1" s="1"/>
  <c r="B9" i="1"/>
  <c r="B16" i="3"/>
  <c r="A19" i="3"/>
  <c r="B26" i="1"/>
  <c r="B48" i="1"/>
  <c r="B42" i="1" l="1"/>
  <c r="B19" i="1"/>
  <c r="B30" i="3" s="1"/>
  <c r="B31" i="1"/>
  <c r="B22" i="1"/>
  <c r="B39" i="1"/>
  <c r="B41" i="1" s="1"/>
  <c r="B10" i="1"/>
  <c r="B28" i="1" s="1"/>
  <c r="B11" i="1" s="1"/>
  <c r="B16" i="1" s="1"/>
  <c r="B40" i="1"/>
  <c r="B34" i="1"/>
  <c r="B33" i="1"/>
  <c r="B36" i="1" l="1"/>
  <c r="A17" i="1" s="1"/>
  <c r="B22" i="3"/>
  <c r="B12" i="1"/>
  <c r="B24" i="3" s="1"/>
  <c r="B43" i="1"/>
  <c r="B49" i="1" s="1"/>
  <c r="B50" i="1" s="1"/>
  <c r="B26" i="3"/>
  <c r="B23" i="3"/>
  <c r="A18" i="1" l="1"/>
  <c r="B51" i="1"/>
  <c r="B53" i="1" s="1"/>
  <c r="B33" i="3" s="1"/>
  <c r="B44" i="1"/>
  <c r="B45" i="1" s="1"/>
  <c r="B21" i="1" s="1"/>
  <c r="B32" i="3" s="1"/>
  <c r="B20" i="1" l="1"/>
  <c r="B31" i="3" s="1"/>
</calcChain>
</file>

<file path=xl/sharedStrings.xml><?xml version="1.0" encoding="utf-8"?>
<sst xmlns="http://schemas.openxmlformats.org/spreadsheetml/2006/main" count="110" uniqueCount="107">
  <si>
    <t>Results Data in [Sample Results] for Test Name  :</t>
  </si>
  <si>
    <t>LC-MS</t>
  </si>
  <si>
    <t>Analyte                                                                  :</t>
  </si>
  <si>
    <t>Acrylamide</t>
  </si>
  <si>
    <t>Select Report Type (Spike, Ref…) :</t>
  </si>
  <si>
    <t>Low Spike</t>
  </si>
  <si>
    <t>Select Units (ppm, µg/kg, g/L…)    :</t>
  </si>
  <si>
    <t>µg/kg</t>
  </si>
  <si>
    <t>Enter Expected  Analyte Concentration For Analytes   :</t>
  </si>
  <si>
    <t xml:space="preserve"> MDL - Optional (From Mean of Previous Low Spikes)  :</t>
  </si>
  <si>
    <t>Select  # of Significant figures       :</t>
  </si>
  <si>
    <t>Total Number of Results</t>
  </si>
  <si>
    <t>ST DEV σ of Results</t>
  </si>
  <si>
    <t>RSD% (CV)</t>
  </si>
  <si>
    <t>bias as %age (100 - Recovery)</t>
  </si>
  <si>
    <t>MDL  Factor (n-1 Degrees Freedom)</t>
  </si>
  <si>
    <t>Units  - 1 Part in This Value</t>
  </si>
  <si>
    <t xml:space="preserve">Predicted Horwitz "Expected Value" as RSD% </t>
  </si>
  <si>
    <t xml:space="preserve">Horwitz Ratio (Ideally 0.3≤ HorRat ≤1)   </t>
  </si>
  <si>
    <t>MDL = (MDL Factor x SD)</t>
  </si>
  <si>
    <t>PQL (Practical Quantitation limit)</t>
  </si>
  <si>
    <t>% Recovery</t>
  </si>
  <si>
    <t>Number of Results included in Calculations</t>
  </si>
  <si>
    <t>Raw Mean of Samples (Ymv)</t>
  </si>
  <si>
    <t>Raw ST DEV σ of Results</t>
  </si>
  <si>
    <t>Number of Decimal places for DISPLAYED Data</t>
  </si>
  <si>
    <t>Raw Relative SD</t>
  </si>
  <si>
    <t>Ymax - Ymv</t>
  </si>
  <si>
    <t>Ymv - Ymin</t>
  </si>
  <si>
    <t>G (min)</t>
  </si>
  <si>
    <t>G (max)</t>
  </si>
  <si>
    <t>G Critical</t>
  </si>
  <si>
    <t>Check if This Result is an Outlier?</t>
  </si>
  <si>
    <t>Number of Excluded Results</t>
  </si>
  <si>
    <t>Raw uncertainty at 95Conf - u</t>
  </si>
  <si>
    <t>Raw MDL = (MDL Factor x SD)</t>
  </si>
  <si>
    <t>Bias</t>
  </si>
  <si>
    <t>Raw bias (Mean - Spike)</t>
  </si>
  <si>
    <t>MDL Corrected</t>
  </si>
  <si>
    <t>PLQ Corrected</t>
  </si>
  <si>
    <t>PQL rounded</t>
  </si>
  <si>
    <t>Spike Level to correct Sig. Figs</t>
  </si>
  <si>
    <t>Now Calculate correct rounding for MDL:-</t>
  </si>
  <si>
    <t>Get int/log factor for Corrected Spike</t>
  </si>
  <si>
    <t>Get int/log factor for Corrected MDL</t>
  </si>
  <si>
    <t>Calculate rounding integer for MDL</t>
  </si>
  <si>
    <t>Round Corrected MDL to create correct rounding</t>
  </si>
  <si>
    <r>
      <rPr>
        <b/>
        <sz val="11"/>
        <color indexed="28"/>
        <rFont val="Arial"/>
        <family val="2"/>
      </rPr>
      <t xml:space="preserve">Corrected for Recovery </t>
    </r>
    <r>
      <rPr>
        <sz val="11"/>
        <color indexed="28"/>
        <rFont val="Arial"/>
        <family val="2"/>
      </rPr>
      <t>Check [Report] Sheet &gt;&gt;</t>
    </r>
  </si>
  <si>
    <t>S1</t>
  </si>
  <si>
    <t>S2</t>
  </si>
  <si>
    <t>S3</t>
  </si>
  <si>
    <t>S4</t>
  </si>
  <si>
    <t>S5 Duplicate S3</t>
  </si>
  <si>
    <t>S6</t>
  </si>
  <si>
    <t>S7</t>
  </si>
  <si>
    <t>S8</t>
  </si>
  <si>
    <t>S9 (Outlier?)</t>
  </si>
  <si>
    <t>?58.97</t>
  </si>
  <si>
    <t>Report Date</t>
  </si>
  <si>
    <t>Laboratory Name</t>
  </si>
  <si>
    <t>Tim’s Testing &amp; Consulting Laboratory Pty Ltd</t>
  </si>
  <si>
    <t>Address</t>
  </si>
  <si>
    <t>15a Bridge Street</t>
  </si>
  <si>
    <t>Some-Town, STATE, X100</t>
  </si>
  <si>
    <t>Contact</t>
  </si>
  <si>
    <t>Tim Strutt</t>
  </si>
  <si>
    <t>tim@timstrutt.com</t>
  </si>
  <si>
    <t>Authorised By</t>
  </si>
  <si>
    <t>Saga Brondam</t>
  </si>
  <si>
    <t>Analyte</t>
  </si>
  <si>
    <t>Number of Samples in This Report</t>
  </si>
  <si>
    <t>Bias as a %age</t>
  </si>
  <si>
    <t>Is Bias Satisfactory? (Y/N)                          :</t>
  </si>
  <si>
    <t>Yes</t>
  </si>
  <si>
    <t>Is Horwitz Ratio Satisfactory? (Y/N)            :</t>
  </si>
  <si>
    <t>Method Detection Limit (MDL)</t>
  </si>
  <si>
    <t>Practical Quantitation Limit (PQL)</t>
  </si>
  <si>
    <t>Student’s t-test</t>
  </si>
  <si>
    <t>Grubbs’ test 𝜶 0.05</t>
  </si>
  <si>
    <t>Limit</t>
  </si>
  <si>
    <t>1-sided</t>
  </si>
  <si>
    <t>2-sided</t>
  </si>
  <si>
    <t>Unit</t>
  </si>
  <si>
    <t>NumericValue</t>
  </si>
  <si>
    <t>ppm</t>
  </si>
  <si>
    <t>ppb</t>
  </si>
  <si>
    <t>ppt</t>
  </si>
  <si>
    <t>mg/kg</t>
  </si>
  <si>
    <t>ng/kg</t>
  </si>
  <si>
    <t>mg/L</t>
  </si>
  <si>
    <t>µg/L</t>
  </si>
  <si>
    <t>ng/L</t>
  </si>
  <si>
    <t>pg/L</t>
  </si>
  <si>
    <t>g/L</t>
  </si>
  <si>
    <t>percent</t>
  </si>
  <si>
    <t>drops/floz</t>
  </si>
  <si>
    <t>This spreadsheet may be useful to assist Laboratory Analysts and Assessors ensure compliance with ISO/ IEC 17025:2017. The revised standard requires Measurement Uncertainty (MU) of chemical test results to be available. It is designed to help produce necessary information by using sample blanks, spikes, and comparisons with reference materials. Sample "Low Spikes" could be used to determine Recoveries and Method Detection Limits. Spikes establish MUs at different concentrations with different matrices. It may be helpful when developing new methods or for "novel" analytes and matrices. An authorised report for a single analyte can be printed.</t>
  </si>
  <si>
    <r>
      <rPr>
        <sz val="10"/>
        <color indexed="8"/>
        <rFont val="Arial"/>
        <family val="2"/>
      </rPr>
      <t>Created with Apple "Numbers" Version 13, and Microsoft "Excel" 2013, spreadsheet programs - Using only "Cell Functions".  No "Code", Macros, or Hyperlinks are used -</t>
    </r>
    <r>
      <rPr>
        <sz val="10"/>
        <color indexed="45"/>
        <rFont val="Arial"/>
        <family val="2"/>
      </rPr>
      <t xml:space="preserve"> </t>
    </r>
    <r>
      <rPr>
        <b/>
        <sz val="10"/>
        <color indexed="28"/>
        <rFont val="Arial"/>
        <family val="2"/>
      </rPr>
      <t>It should be “Safe” to distribute…</t>
    </r>
  </si>
  <si>
    <r>
      <rPr>
        <sz val="10"/>
        <color indexed="8"/>
        <rFont val="Arial"/>
        <family val="2"/>
      </rPr>
      <t xml:space="preserve">The spreadsheet uses some </t>
    </r>
    <r>
      <rPr>
        <b/>
        <sz val="10"/>
        <color indexed="8"/>
        <rFont val="Arial"/>
        <family val="2"/>
      </rPr>
      <t>conventions</t>
    </r>
    <r>
      <rPr>
        <sz val="10"/>
        <color indexed="8"/>
        <rFont val="Arial"/>
        <family val="2"/>
      </rPr>
      <t xml:space="preserve">: In [MainTable] cells where the user is expected to input data have </t>
    </r>
    <r>
      <rPr>
        <sz val="10"/>
        <color indexed="46"/>
        <rFont val="Arial"/>
        <family val="2"/>
      </rPr>
      <t>blue text : labels</t>
    </r>
    <r>
      <rPr>
        <sz val="10"/>
        <color indexed="8"/>
        <rFont val="Arial"/>
        <family val="2"/>
      </rPr>
      <t xml:space="preserve">, </t>
    </r>
    <r>
      <rPr>
        <b/>
        <sz val="10"/>
        <color indexed="47"/>
        <rFont val="Arial"/>
        <family val="2"/>
      </rPr>
      <t xml:space="preserve">bold blue </t>
    </r>
    <r>
      <rPr>
        <sz val="10"/>
        <color indexed="8"/>
        <rFont val="Arial"/>
        <family val="2"/>
      </rPr>
      <t>indicates that a selection is made from a list</t>
    </r>
    <r>
      <rPr>
        <b/>
        <sz val="10"/>
        <color indexed="8"/>
        <rFont val="Arial"/>
        <family val="2"/>
      </rPr>
      <t xml:space="preserve">. </t>
    </r>
    <r>
      <rPr>
        <sz val="10"/>
        <color indexed="8"/>
        <rFont val="Arial"/>
        <family val="2"/>
      </rPr>
      <t xml:space="preserve"> Default look-ups are </t>
    </r>
    <r>
      <rPr>
        <b/>
        <sz val="10"/>
        <color indexed="48"/>
        <rFont val="Arial"/>
        <family val="2"/>
      </rPr>
      <t>grey</t>
    </r>
    <r>
      <rPr>
        <sz val="10"/>
        <color indexed="8"/>
        <rFont val="Arial"/>
        <family val="2"/>
      </rPr>
      <t>. Checks have [</t>
    </r>
    <r>
      <rPr>
        <b/>
        <sz val="10"/>
        <color indexed="49"/>
        <rFont val="Arial"/>
        <family val="2"/>
      </rPr>
      <t>pale backgrounds</t>
    </r>
    <r>
      <rPr>
        <sz val="10"/>
        <color indexed="8"/>
        <rFont val="Arial"/>
        <family val="2"/>
      </rPr>
      <t xml:space="preserve">]; Warnings have </t>
    </r>
    <r>
      <rPr>
        <sz val="10"/>
        <color indexed="8"/>
        <rFont val="Arial"/>
        <family val="2"/>
      </rPr>
      <t>[</t>
    </r>
    <r>
      <rPr>
        <b/>
        <sz val="10"/>
        <color indexed="50"/>
        <rFont val="Arial"/>
        <family val="2"/>
      </rPr>
      <t>darker backgrounds</t>
    </r>
    <r>
      <rPr>
        <sz val="10"/>
        <color indexed="8"/>
        <rFont val="Arial"/>
        <family val="2"/>
      </rPr>
      <t xml:space="preserve">]; </t>
    </r>
    <r>
      <rPr>
        <sz val="10"/>
        <color indexed="8"/>
        <rFont val="Arial"/>
        <family val="2"/>
      </rPr>
      <t>and Failure/Out-of-range warnings have [</t>
    </r>
    <r>
      <rPr>
        <b/>
        <sz val="10"/>
        <color indexed="30"/>
        <rFont val="Arial"/>
        <family val="2"/>
      </rPr>
      <t>red backgrounds</t>
    </r>
    <r>
      <rPr>
        <sz val="10"/>
        <color indexed="8"/>
        <rFont val="Arial"/>
        <family val="2"/>
      </rPr>
      <t>]; Replaced MDLs or Significances have [</t>
    </r>
    <r>
      <rPr>
        <sz val="10"/>
        <color indexed="51"/>
        <rFont val="Arial"/>
        <family val="2"/>
      </rPr>
      <t>blue backgrounds</t>
    </r>
    <r>
      <rPr>
        <sz val="10"/>
        <color indexed="8"/>
        <rFont val="Arial"/>
        <family val="2"/>
      </rPr>
      <t xml:space="preserve">] </t>
    </r>
    <r>
      <rPr>
        <b/>
        <sz val="10"/>
        <color indexed="28"/>
        <rFont val="Arial"/>
        <family val="2"/>
      </rPr>
      <t>Important</t>
    </r>
    <r>
      <rPr>
        <sz val="10"/>
        <color indexed="28"/>
        <rFont val="Arial"/>
        <family val="2"/>
      </rPr>
      <t xml:space="preserve"> data is purple.</t>
    </r>
  </si>
  <si>
    <r>
      <rPr>
        <b/>
        <sz val="10"/>
        <color indexed="8"/>
        <rFont val="Arial"/>
        <family val="2"/>
      </rPr>
      <t>Getting Started</t>
    </r>
    <r>
      <rPr>
        <sz val="10"/>
        <color indexed="8"/>
        <rFont val="Arial"/>
        <family val="2"/>
      </rPr>
      <t xml:space="preserve">: The sheets are [MainTable], [SampleResults], [Report], [Distributions] and [Units], and </t>
    </r>
    <r>
      <rPr>
        <b/>
        <sz val="10"/>
        <color indexed="8"/>
        <rFont val="Arial"/>
        <family val="2"/>
      </rPr>
      <t>[Notes</t>
    </r>
    <r>
      <rPr>
        <sz val="10"/>
        <color indexed="8"/>
        <rFont val="Arial"/>
        <family val="2"/>
      </rPr>
      <t xml:space="preserve">]. The last three are "look-ups" or information. </t>
    </r>
    <r>
      <rPr>
        <b/>
        <sz val="10"/>
        <color indexed="8"/>
        <rFont val="Arial"/>
        <family val="2"/>
      </rPr>
      <t>Data should be added or changed as outlined below…</t>
    </r>
  </si>
  <si>
    <r>
      <rPr>
        <sz val="11"/>
        <color indexed="8"/>
        <rFont val="Helvetica Neue"/>
      </rPr>
      <t>[</t>
    </r>
    <r>
      <rPr>
        <b/>
        <sz val="10"/>
        <color indexed="8"/>
        <rFont val="Arial"/>
        <family val="2"/>
      </rPr>
      <t>MainTable]</t>
    </r>
    <r>
      <rPr>
        <sz val="10"/>
        <color indexed="8"/>
        <rFont val="Arial"/>
        <family val="2"/>
      </rPr>
      <t xml:space="preserve">: Used to set the parameters of the Test:-
</t>
    </r>
    <r>
      <rPr>
        <sz val="10"/>
        <color indexed="8"/>
        <rFont val="Arial"/>
        <family val="2"/>
      </rPr>
      <t xml:space="preserve">Fill in the Instrument/Test name that was used to create the results.
</t>
    </r>
    <r>
      <rPr>
        <sz val="10"/>
        <color indexed="8"/>
        <rFont val="Arial"/>
        <family val="2"/>
      </rPr>
      <t xml:space="preserve">Fill in the Analyte Name for your set of results
</t>
    </r>
    <r>
      <rPr>
        <sz val="10"/>
        <color indexed="8"/>
        <rFont val="Arial"/>
        <family val="2"/>
      </rPr>
      <t>Select</t>
    </r>
    <r>
      <rPr>
        <sz val="10"/>
        <color indexed="15"/>
        <rFont val="Arial"/>
        <family val="2"/>
      </rPr>
      <t xml:space="preserve"> Report Type</t>
    </r>
    <r>
      <rPr>
        <sz val="10"/>
        <color indexed="8"/>
        <rFont val="Arial"/>
        <family val="2"/>
      </rPr>
      <t xml:space="preserve"> from the drop-down - This will produce different a different [Report] for each type.
</t>
    </r>
    <r>
      <rPr>
        <sz val="10"/>
        <color indexed="8"/>
        <rFont val="Arial"/>
        <family val="2"/>
      </rPr>
      <t xml:space="preserve">Select </t>
    </r>
    <r>
      <rPr>
        <sz val="10"/>
        <color indexed="15"/>
        <rFont val="Arial"/>
        <family val="2"/>
      </rPr>
      <t xml:space="preserve">Units </t>
    </r>
    <r>
      <rPr>
        <sz val="10"/>
        <color indexed="8"/>
        <rFont val="Arial"/>
        <family val="2"/>
      </rPr>
      <t xml:space="preserve">from the drop-down - This will change the Horwitz Ratio (larger concentrations should give higher precision).
</t>
    </r>
    <r>
      <rPr>
        <sz val="10"/>
        <color indexed="8"/>
        <rFont val="Arial"/>
        <family val="2"/>
      </rPr>
      <t xml:space="preserve">Enter 'Spike Value' - Values between 0.00001 and 10,000,000.
</t>
    </r>
    <r>
      <rPr>
        <sz val="10"/>
        <color indexed="8"/>
        <rFont val="Arial"/>
        <family val="2"/>
      </rPr>
      <t xml:space="preserve">MDL (From Mean of Previous Low Spikes) - If a value is entered, it will be used instead of the Results calculation.
</t>
    </r>
    <r>
      <rPr>
        <sz val="10"/>
        <color indexed="8"/>
        <rFont val="Arial"/>
        <family val="2"/>
      </rPr>
      <t xml:space="preserve">Select </t>
    </r>
    <r>
      <rPr>
        <sz val="10"/>
        <color indexed="15"/>
        <rFont val="Arial"/>
        <family val="2"/>
      </rPr>
      <t>Number of Significant figures</t>
    </r>
    <r>
      <rPr>
        <sz val="10"/>
        <color indexed="8"/>
        <rFont val="Arial"/>
        <family val="2"/>
      </rPr>
      <t xml:space="preserve"> - Usually </t>
    </r>
    <r>
      <rPr>
        <b/>
        <sz val="10"/>
        <color indexed="15"/>
        <rFont val="Arial"/>
        <family val="2"/>
      </rPr>
      <t>2</t>
    </r>
    <r>
      <rPr>
        <sz val="10"/>
        <color indexed="8"/>
        <rFont val="Arial"/>
        <family val="2"/>
      </rPr>
      <t xml:space="preserve"> - 1 may be useful if near Quantitation limits, 3 for special precision.
</t>
    </r>
    <r>
      <rPr>
        <sz val="10"/>
        <color indexed="8"/>
        <rFont val="Arial"/>
        <family val="2"/>
      </rPr>
      <t xml:space="preserve">Select </t>
    </r>
    <r>
      <rPr>
        <sz val="10"/>
        <color indexed="15"/>
        <rFont val="Arial"/>
        <family val="2"/>
      </rPr>
      <t xml:space="preserve">One or two tail Grubbs’ Test (α: 0.05) </t>
    </r>
    <r>
      <rPr>
        <sz val="10"/>
        <color indexed="8"/>
        <rFont val="Arial"/>
        <family val="2"/>
      </rPr>
      <t xml:space="preserve">- Normally </t>
    </r>
    <r>
      <rPr>
        <b/>
        <sz val="10"/>
        <color indexed="15"/>
        <rFont val="Arial"/>
        <family val="2"/>
      </rPr>
      <t>1</t>
    </r>
    <r>
      <rPr>
        <sz val="10"/>
        <color indexed="8"/>
        <rFont val="Arial"/>
        <family val="2"/>
      </rPr>
      <t xml:space="preserve">;  </t>
    </r>
    <r>
      <rPr>
        <b/>
        <sz val="10"/>
        <color indexed="28"/>
        <rFont val="Arial"/>
        <family val="2"/>
      </rPr>
      <t>2</t>
    </r>
    <r>
      <rPr>
        <sz val="10"/>
        <color indexed="28"/>
        <rFont val="Arial"/>
        <family val="2"/>
      </rPr>
      <t xml:space="preserve"> is not recommended for &lt;9 </t>
    </r>
    <r>
      <rPr>
        <b/>
        <sz val="10"/>
        <color indexed="28"/>
        <rFont val="Arial"/>
        <family val="2"/>
      </rPr>
      <t>approved</t>
    </r>
    <r>
      <rPr>
        <sz val="10"/>
        <color indexed="28"/>
        <rFont val="Arial"/>
        <family val="2"/>
      </rPr>
      <t xml:space="preserve"> Results</t>
    </r>
    <r>
      <rPr>
        <sz val="10"/>
        <color indexed="8"/>
        <rFont val="Arial"/>
        <family val="2"/>
      </rPr>
      <t xml:space="preserve">.
</t>
    </r>
    <r>
      <rPr>
        <b/>
        <sz val="10"/>
        <color indexed="15"/>
        <rFont val="Arial"/>
        <family val="2"/>
      </rPr>
      <t>1</t>
    </r>
    <r>
      <rPr>
        <sz val="10"/>
        <color indexed="8"/>
        <rFont val="Arial"/>
        <family val="2"/>
      </rPr>
      <t xml:space="preserve"> calculates the right and left tails separately, the furthest from the mean is used for </t>
    </r>
    <r>
      <rPr>
        <sz val="11"/>
        <color indexed="52"/>
        <rFont val="Helvetica Neue"/>
      </rPr>
      <t>the "one outlier" hypothesis.</t>
    </r>
    <r>
      <rPr>
        <sz val="10"/>
        <color indexed="8"/>
        <rFont val="Arial"/>
        <family val="2"/>
      </rPr>
      <t xml:space="preserve">
</t>
    </r>
    <r>
      <rPr>
        <b/>
        <sz val="10"/>
        <color indexed="8"/>
        <rFont val="Arial"/>
        <family val="2"/>
      </rPr>
      <t xml:space="preserve">Now go to the [SampleResults] Sheet…
</t>
    </r>
    <r>
      <rPr>
        <b/>
        <sz val="10"/>
        <color indexed="8"/>
        <rFont val="Arial"/>
        <family val="2"/>
      </rPr>
      <t xml:space="preserve">
</t>
    </r>
    <r>
      <rPr>
        <b/>
        <sz val="10"/>
        <color indexed="8"/>
        <rFont val="Arial"/>
        <family val="2"/>
      </rPr>
      <t>[SampleResults]</t>
    </r>
    <r>
      <rPr>
        <sz val="10"/>
        <color indexed="8"/>
        <rFont val="Arial"/>
        <family val="2"/>
      </rPr>
      <t xml:space="preserve">: Used to add SampleID and Results. There are 2 columns:-
</t>
    </r>
    <r>
      <rPr>
        <sz val="10"/>
        <color indexed="8"/>
        <rFont val="Arial"/>
        <family val="2"/>
      </rPr>
      <t xml:space="preserve">Used to Add/Edit </t>
    </r>
    <r>
      <rPr>
        <b/>
        <sz val="10"/>
        <color indexed="8"/>
        <rFont val="Arial"/>
        <family val="2"/>
      </rPr>
      <t>SampleID</t>
    </r>
    <r>
      <rPr>
        <sz val="10"/>
        <color indexed="8"/>
        <rFont val="Arial"/>
        <family val="2"/>
      </rPr>
      <t xml:space="preserve"> (or Paste from another spreadsheet).
</t>
    </r>
    <r>
      <rPr>
        <sz val="10"/>
        <color indexed="8"/>
        <rFont val="Arial"/>
        <family val="2"/>
      </rPr>
      <t xml:space="preserve">Used to Add/Edit </t>
    </r>
    <r>
      <rPr>
        <b/>
        <sz val="10"/>
        <color indexed="8"/>
        <rFont val="Arial"/>
        <family val="2"/>
      </rPr>
      <t>Results</t>
    </r>
    <r>
      <rPr>
        <sz val="10"/>
        <color indexed="8"/>
        <rFont val="Arial"/>
        <family val="2"/>
      </rPr>
      <t xml:space="preserve"> (or Paste from another spreadsheet).</t>
    </r>
    <r>
      <rPr>
        <b/>
        <sz val="10"/>
        <color indexed="8"/>
        <rFont val="Arial"/>
        <family val="2"/>
      </rPr>
      <t xml:space="preserve">
</t>
    </r>
    <r>
      <rPr>
        <sz val="10"/>
        <color indexed="8"/>
        <rFont val="Arial"/>
        <family val="2"/>
      </rPr>
      <t xml:space="preserve">Possible </t>
    </r>
    <r>
      <rPr>
        <b/>
        <sz val="10"/>
        <color indexed="8"/>
        <rFont val="Arial"/>
        <family val="2"/>
      </rPr>
      <t>Outliers</t>
    </r>
    <r>
      <rPr>
        <sz val="10"/>
        <color indexed="8"/>
        <rFont val="Arial"/>
        <family val="2"/>
      </rPr>
      <t xml:space="preserve"> can be indicated by adding text e.g. Changing 77 to  ?77  or  77! 
</t>
    </r>
    <r>
      <rPr>
        <sz val="10"/>
        <color indexed="8"/>
        <rFont val="Arial"/>
        <family val="2"/>
      </rPr>
      <t xml:space="preserve">This will cause the possible Outlier to be ignored by the Horwitz and Grubbs calculations.
</t>
    </r>
    <r>
      <rPr>
        <sz val="10"/>
        <color indexed="8"/>
        <rFont val="Arial"/>
        <family val="2"/>
      </rPr>
      <t xml:space="preserve">The sheet can have many rows, but normally 3-11 are used (5, or more recommended).
</t>
    </r>
    <r>
      <rPr>
        <sz val="10"/>
        <color indexed="8"/>
        <rFont val="Arial"/>
        <family val="2"/>
      </rPr>
      <t xml:space="preserve">
</t>
    </r>
    <r>
      <rPr>
        <b/>
        <sz val="10"/>
        <color indexed="8"/>
        <rFont val="Arial"/>
        <family val="2"/>
      </rPr>
      <t>[Report]</t>
    </r>
    <r>
      <rPr>
        <sz val="10"/>
        <color indexed="8"/>
        <rFont val="Arial"/>
        <family val="2"/>
      </rPr>
      <t xml:space="preserve">: Used to display or print a formal report:-
</t>
    </r>
    <r>
      <rPr>
        <sz val="10"/>
        <color indexed="8"/>
        <rFont val="Arial"/>
        <family val="2"/>
      </rPr>
      <t xml:space="preserve">The Report Date, Laboratory Name, Address, Contact, and Authorised data can be edited.
</t>
    </r>
    <r>
      <rPr>
        <sz val="10"/>
        <color indexed="8"/>
        <rFont val="Arial"/>
        <family val="2"/>
      </rPr>
      <t xml:space="preserve">Check that the </t>
    </r>
    <r>
      <rPr>
        <b/>
        <sz val="10"/>
        <color indexed="15"/>
        <rFont val="Arial"/>
        <family val="2"/>
      </rPr>
      <t>Bias</t>
    </r>
    <r>
      <rPr>
        <sz val="10"/>
        <color indexed="8"/>
        <rFont val="Arial"/>
        <family val="2"/>
      </rPr>
      <t xml:space="preserve"> and </t>
    </r>
    <r>
      <rPr>
        <b/>
        <sz val="10"/>
        <color indexed="15"/>
        <rFont val="Arial"/>
        <family val="2"/>
      </rPr>
      <t xml:space="preserve">Horwitz Ratio </t>
    </r>
    <r>
      <rPr>
        <sz val="10"/>
        <color indexed="8"/>
        <rFont val="Arial"/>
        <family val="2"/>
      </rPr>
      <t xml:space="preserve">are satisfactory - An Outlier can increase these values…
</t>
    </r>
    <r>
      <rPr>
        <sz val="10"/>
        <color indexed="8"/>
        <rFont val="Arial"/>
        <family val="2"/>
      </rPr>
      <t xml:space="preserve">
</t>
    </r>
    <r>
      <rPr>
        <b/>
        <sz val="10"/>
        <color indexed="8"/>
        <rFont val="Arial"/>
        <family val="2"/>
      </rPr>
      <t>[Distributions]</t>
    </r>
    <r>
      <rPr>
        <sz val="10"/>
        <color indexed="8"/>
        <rFont val="Arial"/>
        <family val="2"/>
      </rPr>
      <t xml:space="preserve">: Used to calculate Method Detection Limit (t-test) and Grubbs’ critical value:-
</t>
    </r>
    <r>
      <rPr>
        <sz val="10"/>
        <color indexed="8"/>
        <rFont val="Arial"/>
        <family val="2"/>
      </rPr>
      <t xml:space="preserve">This is not editable. It is recommended that the user consults the NIST and RSC papers, referenced
</t>
    </r>
    <r>
      <rPr>
        <sz val="10"/>
        <color indexed="8"/>
        <rFont val="Arial"/>
        <family val="2"/>
      </rPr>
      <t xml:space="preserve">in the text at the bottom of the sheet, for further background information.
</t>
    </r>
    <r>
      <rPr>
        <sz val="10"/>
        <color indexed="8"/>
        <rFont val="Arial"/>
        <family val="2"/>
      </rPr>
      <t xml:space="preserve">
</t>
    </r>
    <r>
      <rPr>
        <b/>
        <sz val="10"/>
        <color indexed="8"/>
        <rFont val="Arial"/>
        <family val="2"/>
      </rPr>
      <t>[Units]</t>
    </r>
    <r>
      <rPr>
        <sz val="10"/>
        <color indexed="8"/>
        <rFont val="Arial"/>
        <family val="2"/>
      </rPr>
      <t xml:space="preserve">: Used to calculate scale of Horwitz values, and in </t>
    </r>
    <r>
      <rPr>
        <b/>
        <sz val="10"/>
        <color indexed="8"/>
        <rFont val="Arial"/>
        <family val="2"/>
      </rPr>
      <t>[Report]</t>
    </r>
    <r>
      <rPr>
        <sz val="10"/>
        <color indexed="8"/>
        <rFont val="Arial"/>
        <family val="2"/>
      </rPr>
      <t xml:space="preserve"> and </t>
    </r>
    <r>
      <rPr>
        <b/>
        <sz val="10"/>
        <color indexed="8"/>
        <rFont val="Arial"/>
        <family val="2"/>
      </rPr>
      <t>[Calculations - Main Table]</t>
    </r>
    <r>
      <rPr>
        <sz val="10"/>
        <color indexed="8"/>
        <rFont val="Arial"/>
        <family val="2"/>
      </rPr>
      <t xml:space="preserve">:-
</t>
    </r>
    <r>
      <rPr>
        <sz val="10"/>
        <color indexed="8"/>
        <rFont val="Arial"/>
        <family val="2"/>
      </rPr>
      <t>It is normally Locked, but any changes must be reflected in</t>
    </r>
    <r>
      <rPr>
        <b/>
        <sz val="10"/>
        <color indexed="8"/>
        <rFont val="Arial"/>
        <family val="2"/>
      </rPr>
      <t xml:space="preserve"> [MU Calculations]</t>
    </r>
    <r>
      <rPr>
        <sz val="10"/>
        <color indexed="8"/>
        <rFont val="Arial"/>
        <family val="2"/>
      </rPr>
      <t xml:space="preserve"> "</t>
    </r>
    <r>
      <rPr>
        <sz val="10"/>
        <color indexed="15"/>
        <rFont val="Arial"/>
        <family val="2"/>
      </rPr>
      <t>Select Units</t>
    </r>
    <r>
      <rPr>
        <sz val="10"/>
        <color indexed="8"/>
        <rFont val="Arial"/>
        <family val="2"/>
      </rPr>
      <t>" drop-down.</t>
    </r>
  </si>
  <si>
    <r>
      <rPr>
        <b/>
        <sz val="10"/>
        <color indexed="8"/>
        <rFont val="Arial"/>
        <family val="2"/>
      </rPr>
      <t xml:space="preserve">For further information, please consult these References:-
</t>
    </r>
    <r>
      <rPr>
        <sz val="10"/>
        <color indexed="8"/>
        <rFont val="Arial"/>
        <family val="2"/>
      </rPr>
      <t xml:space="preserve">Planning and Reporting Method Validation Studies; Supplement to EURACHEM Guide on the Fitness for Purpose of Analytical Methods, First edition 2019 
</t>
    </r>
    <r>
      <rPr>
        <sz val="10"/>
        <color indexed="8"/>
        <rFont val="Arial"/>
        <family val="2"/>
      </rPr>
      <t>Blanks in Method Validation, Supplement to EURACHEM Guide The Fitness for Purpose of Analytical Methods, First Edition 2019</t>
    </r>
  </si>
  <si>
    <r>
      <rPr>
        <sz val="10"/>
        <color indexed="8"/>
        <rFont val="Arial"/>
        <family val="2"/>
      </rPr>
      <t xml:space="preserve">The </t>
    </r>
    <r>
      <rPr>
        <b/>
        <sz val="10"/>
        <color indexed="8"/>
        <rFont val="Arial"/>
        <family val="2"/>
      </rPr>
      <t>password</t>
    </r>
    <r>
      <rPr>
        <sz val="10"/>
        <color indexed="8"/>
        <rFont val="Arial"/>
        <family val="2"/>
      </rPr>
      <t xml:space="preserve"> to unlock individual MS Excel sheets and cells is "timstrutt" (no "quotes"). Apple Sheets use Locked "Shapes".</t>
    </r>
  </si>
  <si>
    <r>
      <rPr>
        <sz val="10"/>
        <color indexed="8"/>
        <rFont val="Arial"/>
        <family val="2"/>
      </rPr>
      <t>The</t>
    </r>
    <r>
      <rPr>
        <b/>
        <sz val="10"/>
        <color indexed="8"/>
        <rFont val="Arial"/>
        <family val="2"/>
      </rPr>
      <t xml:space="preserve"> [MainTable] </t>
    </r>
    <r>
      <rPr>
        <sz val="10"/>
        <color indexed="8"/>
        <rFont val="Arial"/>
        <family val="2"/>
      </rPr>
      <t xml:space="preserve">uses "hidden" rows with a  </t>
    </r>
    <r>
      <rPr>
        <i/>
        <sz val="10"/>
        <color indexed="53"/>
        <rFont val="Arial"/>
        <family val="2"/>
      </rPr>
      <t>red font</t>
    </r>
    <r>
      <rPr>
        <sz val="10"/>
        <color indexed="53"/>
        <rFont val="Arial"/>
        <family val="2"/>
      </rPr>
      <t xml:space="preserve"> - Changing or deleting them will cause breakages...</t>
    </r>
  </si>
  <si>
    <r>
      <rPr>
        <b/>
        <sz val="10"/>
        <color indexed="30"/>
        <rFont val="Arial"/>
        <family val="2"/>
      </rPr>
      <t>Warning</t>
    </r>
    <r>
      <rPr>
        <sz val="10"/>
        <color indexed="8"/>
        <rFont val="Arial"/>
        <family val="2"/>
      </rPr>
      <t>: The calculations are based upon standard literature methods, but some approximations have been used. See the references described above for background information.</t>
    </r>
  </si>
  <si>
    <t>This spread-sheet is "Public Domain". Anyone is free to copy, modify, publish, use, or distribute it for any purpose, commercial or non-commercial, and by any means. The author is retired; carries out "Pro Bono" work only; and does not accept any responsibility for any loss caused by the use of, or failure to use, this spreadsheet.   Please do not remove my name, copyright &amp; version information.</t>
  </si>
  <si>
    <t xml:space="preserve">Version: 2026-06-02   -   ©Tim Strutt.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</si>
</sst>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0"/>
    <numFmt numFmtId="166" formatCode="0.0000"/>
    <numFmt numFmtId="167" formatCode="0.0000000"/>
    <numFmt numFmtId="168" formatCode="d&quot; &quot;mmmm&quot; &quot;yyyy"/>
    <numFmt numFmtId="169" formatCode="0.0"/>
  </numFmts>
  <fonts count="46">
    <font>
      <sz val="11"/>
      <color indexed="8"/>
      <name val="Helvetica Neue"/>
    </font>
    <font>
      <sz val="12"/>
      <color indexed="8"/>
      <name val="Helvetica Neue"/>
    </font>
    <font>
      <sz val="11"/>
      <color indexed="9"/>
      <name val="Arial"/>
      <family val="2"/>
    </font>
    <font>
      <b/>
      <sz val="11"/>
      <color indexed="8"/>
      <name val="Helvetica Neue"/>
    </font>
    <font>
      <b/>
      <sz val="11"/>
      <color indexed="9"/>
      <name val="Arial"/>
      <family val="2"/>
    </font>
    <font>
      <sz val="11"/>
      <color indexed="15"/>
      <name val="Arial"/>
      <family val="2"/>
    </font>
    <font>
      <sz val="11"/>
      <color indexed="8"/>
      <name val="Arial"/>
      <family val="2"/>
    </font>
    <font>
      <sz val="11"/>
      <color indexed="24"/>
      <name val="Arial"/>
      <family val="2"/>
    </font>
    <font>
      <b/>
      <sz val="11"/>
      <color indexed="28"/>
      <name val="Arial"/>
      <family val="2"/>
    </font>
    <font>
      <sz val="11"/>
      <color indexed="28"/>
      <name val="Arial"/>
      <family val="2"/>
    </font>
    <font>
      <b/>
      <i/>
      <sz val="11"/>
      <color indexed="30"/>
      <name val="Arial"/>
      <family val="2"/>
    </font>
    <font>
      <i/>
      <sz val="11"/>
      <color indexed="30"/>
      <name val="Arial"/>
      <family val="2"/>
    </font>
    <font>
      <i/>
      <sz val="11"/>
      <color indexed="31"/>
      <name val="Arial"/>
      <family val="2"/>
    </font>
    <font>
      <i/>
      <sz val="11"/>
      <color indexed="31"/>
      <name val="Helvetica Neue"/>
    </font>
    <font>
      <i/>
      <sz val="11"/>
      <color indexed="32"/>
      <name val="Arial"/>
      <family val="2"/>
    </font>
    <font>
      <i/>
      <sz val="11"/>
      <color indexed="32"/>
      <name val="Helvetica Neue"/>
    </font>
    <font>
      <i/>
      <sz val="11"/>
      <color indexed="30"/>
      <name val="Helvetica Neue"/>
    </font>
    <font>
      <b/>
      <i/>
      <sz val="11"/>
      <color indexed="31"/>
      <name val="Arial"/>
      <family val="2"/>
    </font>
    <font>
      <b/>
      <i/>
      <sz val="11"/>
      <color indexed="31"/>
      <name val="Helvetica Neue"/>
    </font>
    <font>
      <b/>
      <sz val="12"/>
      <color indexed="8"/>
      <name val="Arial"/>
      <family val="2"/>
    </font>
    <font>
      <b/>
      <sz val="11"/>
      <color indexed="8"/>
      <name val="Arial"/>
      <family val="2"/>
    </font>
    <font>
      <sz val="12"/>
      <color indexed="8"/>
      <name val="Arial"/>
      <family val="2"/>
    </font>
    <font>
      <b/>
      <sz val="12"/>
      <color indexed="38"/>
      <name val="Arial"/>
      <family val="2"/>
    </font>
    <font>
      <sz val="12"/>
      <color indexed="15"/>
      <name val="Arial"/>
      <family val="2"/>
    </font>
    <font>
      <u/>
      <sz val="12"/>
      <color indexed="8"/>
      <name val="Arial"/>
      <family val="2"/>
    </font>
    <font>
      <sz val="12"/>
      <color indexed="28"/>
      <name val="Arial"/>
      <family val="2"/>
    </font>
    <font>
      <b/>
      <sz val="12"/>
      <color indexed="28"/>
      <name val="Arial"/>
      <family val="2"/>
    </font>
    <font>
      <b/>
      <sz val="10"/>
      <color indexed="8"/>
      <name val="Arial"/>
      <family val="2"/>
    </font>
    <font>
      <sz val="10"/>
      <color indexed="8"/>
      <name val="Arial"/>
      <family val="2"/>
    </font>
    <font>
      <sz val="10"/>
      <color indexed="42"/>
      <name val="Arial"/>
      <family val="2"/>
    </font>
    <font>
      <b/>
      <sz val="10"/>
      <color indexed="42"/>
      <name val="Arial"/>
      <family val="2"/>
    </font>
    <font>
      <sz val="10"/>
      <color indexed="45"/>
      <name val="Arial"/>
      <family val="2"/>
    </font>
    <font>
      <b/>
      <sz val="10"/>
      <color indexed="28"/>
      <name val="Arial"/>
      <family val="2"/>
    </font>
    <font>
      <sz val="10"/>
      <color indexed="46"/>
      <name val="Arial"/>
      <family val="2"/>
    </font>
    <font>
      <b/>
      <sz val="10"/>
      <color indexed="47"/>
      <name val="Arial"/>
      <family val="2"/>
    </font>
    <font>
      <b/>
      <sz val="10"/>
      <color indexed="48"/>
      <name val="Arial"/>
      <family val="2"/>
    </font>
    <font>
      <b/>
      <sz val="10"/>
      <color indexed="49"/>
      <name val="Arial"/>
      <family val="2"/>
    </font>
    <font>
      <b/>
      <sz val="10"/>
      <color indexed="50"/>
      <name val="Arial"/>
      <family val="2"/>
    </font>
    <font>
      <b/>
      <sz val="10"/>
      <color indexed="30"/>
      <name val="Arial"/>
      <family val="2"/>
    </font>
    <font>
      <sz val="10"/>
      <color indexed="51"/>
      <name val="Arial"/>
      <family val="2"/>
    </font>
    <font>
      <sz val="10"/>
      <color indexed="28"/>
      <name val="Arial"/>
      <family val="2"/>
    </font>
    <font>
      <sz val="10"/>
      <color indexed="15"/>
      <name val="Arial"/>
      <family val="2"/>
    </font>
    <font>
      <b/>
      <sz val="10"/>
      <color indexed="15"/>
      <name val="Arial"/>
      <family val="2"/>
    </font>
    <font>
      <sz val="11"/>
      <color indexed="52"/>
      <name val="Helvetica Neue"/>
    </font>
    <font>
      <i/>
      <sz val="10"/>
      <color indexed="53"/>
      <name val="Arial"/>
      <family val="2"/>
    </font>
    <font>
      <sz val="10"/>
      <color indexed="53"/>
      <name val="Arial"/>
      <family val="2"/>
    </font>
  </fonts>
  <fills count="7">
    <fill>
      <patternFill patternType="none"/>
    </fill>
    <fill>
      <patternFill patternType="gray125"/>
    </fill>
    <fill>
      <patternFill patternType="solid">
        <fgColor indexed="11"/>
        <bgColor auto="1"/>
      </patternFill>
    </fill>
    <fill>
      <patternFill patternType="solid">
        <fgColor indexed="13"/>
        <bgColor auto="1"/>
      </patternFill>
    </fill>
    <fill>
      <patternFill patternType="solid">
        <fgColor indexed="39"/>
        <bgColor auto="1"/>
      </patternFill>
    </fill>
    <fill>
      <patternFill patternType="solid">
        <fgColor indexed="25"/>
        <bgColor auto="1"/>
      </patternFill>
    </fill>
    <fill>
      <patternFill patternType="solid">
        <fgColor indexed="43"/>
        <bgColor auto="1"/>
      </patternFill>
    </fill>
  </fills>
  <borders count="82">
    <border>
      <left/>
      <right/>
      <top/>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2"/>
      </top>
      <bottom/>
      <diagonal/>
    </border>
    <border>
      <left style="thin">
        <color indexed="8"/>
      </left>
      <right style="thin">
        <color indexed="8"/>
      </right>
      <top style="thin">
        <color indexed="10"/>
      </top>
      <bottom style="thin">
        <color indexed="8"/>
      </bottom>
      <diagonal/>
    </border>
    <border>
      <left style="thin">
        <color indexed="8"/>
      </left>
      <right style="thin">
        <color indexed="8"/>
      </right>
      <top style="thin">
        <color indexed="8"/>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14"/>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33"/>
      </right>
      <top style="thin">
        <color indexed="8"/>
      </top>
      <bottom style="thin">
        <color indexed="8"/>
      </bottom>
      <diagonal/>
    </border>
    <border>
      <left style="thin">
        <color indexed="33"/>
      </left>
      <right style="thin">
        <color indexed="33"/>
      </right>
      <top style="thin">
        <color indexed="8"/>
      </top>
      <bottom style="thin">
        <color indexed="8"/>
      </bottom>
      <diagonal/>
    </border>
    <border>
      <left style="thin">
        <color indexed="33"/>
      </left>
      <right style="thin">
        <color indexed="33"/>
      </right>
      <top style="thin">
        <color indexed="12"/>
      </top>
      <bottom style="thin">
        <color indexed="12"/>
      </bottom>
      <diagonal/>
    </border>
    <border>
      <left style="thin">
        <color indexed="33"/>
      </left>
      <right style="thin">
        <color indexed="33"/>
      </right>
      <top/>
      <bottom/>
      <diagonal/>
    </border>
    <border>
      <left style="thin">
        <color indexed="33"/>
      </left>
      <right style="thin">
        <color indexed="8"/>
      </right>
      <top style="thin">
        <color indexed="8"/>
      </top>
      <bottom style="thin">
        <color indexed="8"/>
      </bottom>
      <diagonal/>
    </border>
    <border>
      <left style="thin">
        <color indexed="8"/>
      </left>
      <right style="thin">
        <color indexed="8"/>
      </right>
      <top/>
      <bottom style="thin">
        <color indexed="36"/>
      </bottom>
      <diagonal/>
    </border>
    <border>
      <left style="thin">
        <color indexed="8"/>
      </left>
      <right style="thin">
        <color indexed="8"/>
      </right>
      <top/>
      <bottom style="thin">
        <color indexed="25"/>
      </bottom>
      <diagonal/>
    </border>
    <border>
      <left style="thin">
        <color indexed="12"/>
      </left>
      <right style="thin">
        <color indexed="12"/>
      </right>
      <top style="thin">
        <color indexed="12"/>
      </top>
      <bottom/>
      <diagonal/>
    </border>
    <border>
      <left style="thin">
        <color indexed="12"/>
      </left>
      <right style="thin">
        <color indexed="12"/>
      </right>
      <top/>
      <bottom/>
      <diagonal/>
    </border>
    <border>
      <left style="thin">
        <color indexed="12"/>
      </left>
      <right/>
      <top/>
      <bottom/>
      <diagonal/>
    </border>
    <border>
      <left/>
      <right style="thin">
        <color indexed="12"/>
      </right>
      <top/>
      <bottom/>
      <diagonal/>
    </border>
    <border>
      <left style="thin">
        <color indexed="12"/>
      </left>
      <right/>
      <top/>
      <bottom style="thin">
        <color indexed="12"/>
      </bottom>
      <diagonal/>
    </border>
    <border>
      <left/>
      <right style="thin">
        <color indexed="12"/>
      </right>
      <top/>
      <bottom style="thin">
        <color indexed="12"/>
      </bottom>
      <diagonal/>
    </border>
    <border>
      <left style="thin">
        <color indexed="12"/>
      </left>
      <right style="thin">
        <color indexed="12"/>
      </right>
      <top/>
      <bottom style="thin">
        <color indexed="12"/>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40"/>
      </left>
      <right style="thin">
        <color indexed="41"/>
      </right>
      <top style="thin">
        <color indexed="8"/>
      </top>
      <bottom style="thin">
        <color indexed="40"/>
      </bottom>
      <diagonal/>
    </border>
    <border>
      <left style="thin">
        <color indexed="41"/>
      </left>
      <right style="medium">
        <color indexed="8"/>
      </right>
      <top style="thin">
        <color indexed="8"/>
      </top>
      <bottom style="thin">
        <color indexed="40"/>
      </bottom>
      <diagonal/>
    </border>
    <border>
      <left style="medium">
        <color indexed="8"/>
      </left>
      <right style="thin">
        <color indexed="41"/>
      </right>
      <top style="thin">
        <color indexed="8"/>
      </top>
      <bottom style="thin">
        <color indexed="40"/>
      </bottom>
      <diagonal/>
    </border>
    <border>
      <left style="thin">
        <color indexed="41"/>
      </left>
      <right style="thin">
        <color indexed="40"/>
      </right>
      <top style="thin">
        <color indexed="8"/>
      </top>
      <bottom style="thin">
        <color indexed="40"/>
      </bottom>
      <diagonal/>
    </border>
    <border>
      <left style="thin">
        <color indexed="40"/>
      </left>
      <right style="thin">
        <color indexed="40"/>
      </right>
      <top/>
      <bottom/>
      <diagonal/>
    </border>
    <border>
      <left style="thin">
        <color indexed="40"/>
      </left>
      <right style="thin">
        <color indexed="41"/>
      </right>
      <top style="thin">
        <color indexed="40"/>
      </top>
      <bottom style="thin">
        <color indexed="33"/>
      </bottom>
      <diagonal/>
    </border>
    <border>
      <left style="thin">
        <color indexed="41"/>
      </left>
      <right style="medium">
        <color indexed="40"/>
      </right>
      <top style="thin">
        <color indexed="40"/>
      </top>
      <bottom style="thin">
        <color indexed="33"/>
      </bottom>
      <diagonal/>
    </border>
    <border>
      <left style="medium">
        <color indexed="40"/>
      </left>
      <right style="thin">
        <color indexed="40"/>
      </right>
      <top style="thin">
        <color indexed="40"/>
      </top>
      <bottom style="thin">
        <color indexed="33"/>
      </bottom>
      <diagonal/>
    </border>
    <border>
      <left style="thin">
        <color indexed="40"/>
      </left>
      <right style="thin">
        <color indexed="40"/>
      </right>
      <top style="thin">
        <color indexed="40"/>
      </top>
      <bottom style="thin">
        <color indexed="33"/>
      </bottom>
      <diagonal/>
    </border>
    <border>
      <left style="thin">
        <color indexed="40"/>
      </left>
      <right style="thin">
        <color indexed="41"/>
      </right>
      <top style="thin">
        <color indexed="33"/>
      </top>
      <bottom style="thin">
        <color indexed="33"/>
      </bottom>
      <diagonal/>
    </border>
    <border>
      <left style="thin">
        <color indexed="41"/>
      </left>
      <right style="medium">
        <color indexed="40"/>
      </right>
      <top style="thin">
        <color indexed="33"/>
      </top>
      <bottom style="thin">
        <color indexed="33"/>
      </bottom>
      <diagonal/>
    </border>
    <border>
      <left style="medium">
        <color indexed="40"/>
      </left>
      <right style="thin">
        <color indexed="40"/>
      </right>
      <top style="thin">
        <color indexed="33"/>
      </top>
      <bottom style="thin">
        <color indexed="33"/>
      </bottom>
      <diagonal/>
    </border>
    <border>
      <left style="thin">
        <color indexed="40"/>
      </left>
      <right style="thin">
        <color indexed="40"/>
      </right>
      <top style="thin">
        <color indexed="33"/>
      </top>
      <bottom style="thin">
        <color indexed="33"/>
      </bottom>
      <diagonal/>
    </border>
    <border>
      <left style="thin">
        <color indexed="40"/>
      </left>
      <right style="thin">
        <color indexed="41"/>
      </right>
      <top style="thin">
        <color indexed="33"/>
      </top>
      <bottom style="medium">
        <color indexed="8"/>
      </bottom>
      <diagonal/>
    </border>
    <border>
      <left style="thin">
        <color indexed="41"/>
      </left>
      <right style="medium">
        <color indexed="40"/>
      </right>
      <top style="thin">
        <color indexed="33"/>
      </top>
      <bottom style="medium">
        <color indexed="8"/>
      </bottom>
      <diagonal/>
    </border>
    <border>
      <left style="medium">
        <color indexed="40"/>
      </left>
      <right style="thin">
        <color indexed="40"/>
      </right>
      <top style="thin">
        <color indexed="33"/>
      </top>
      <bottom style="medium">
        <color indexed="8"/>
      </bottom>
      <diagonal/>
    </border>
    <border>
      <left style="thin">
        <color indexed="40"/>
      </left>
      <right style="thin">
        <color indexed="40"/>
      </right>
      <top style="thin">
        <color indexed="33"/>
      </top>
      <bottom style="medium">
        <color indexed="8"/>
      </bottom>
      <diagonal/>
    </border>
    <border>
      <left/>
      <right/>
      <top style="medium">
        <color indexed="8"/>
      </top>
      <bottom/>
      <diagonal/>
    </border>
    <border>
      <left/>
      <right/>
      <top/>
      <bottom/>
      <diagonal/>
    </border>
    <border>
      <left/>
      <right/>
      <top/>
      <bottom style="thin">
        <color indexed="12"/>
      </bottom>
      <diagonal/>
    </border>
    <border>
      <left style="thin">
        <color indexed="8"/>
      </left>
      <right style="thin">
        <color indexed="8"/>
      </right>
      <top style="thin">
        <color indexed="8"/>
      </top>
      <bottom style="thin">
        <color indexed="41"/>
      </bottom>
      <diagonal/>
    </border>
    <border>
      <left style="thin">
        <color indexed="8"/>
      </left>
      <right style="thin">
        <color indexed="8"/>
      </right>
      <top style="thin">
        <color indexed="41"/>
      </top>
      <bottom style="thin">
        <color indexed="41"/>
      </bottom>
      <diagonal/>
    </border>
    <border>
      <left style="thin">
        <color indexed="8"/>
      </left>
      <right style="thin">
        <color indexed="8"/>
      </right>
      <top style="thin">
        <color indexed="14"/>
      </top>
      <bottom style="thin">
        <color indexed="41"/>
      </bottom>
      <diagonal/>
    </border>
    <border>
      <left style="thin">
        <color indexed="8"/>
      </left>
      <right style="thin">
        <color indexed="8"/>
      </right>
      <top style="thin">
        <color indexed="41"/>
      </top>
      <bottom style="thin">
        <color indexed="44"/>
      </bottom>
      <diagonal/>
    </border>
    <border>
      <left style="thin">
        <color indexed="8"/>
      </left>
      <right style="thin">
        <color indexed="8"/>
      </right>
      <top style="thin">
        <color indexed="44"/>
      </top>
      <bottom style="thin">
        <color indexed="44"/>
      </bottom>
      <diagonal/>
    </border>
    <border>
      <left style="thin">
        <color indexed="8"/>
      </left>
      <right style="thin">
        <color indexed="8"/>
      </right>
      <top style="thin">
        <color indexed="41"/>
      </top>
      <bottom style="thin">
        <color indexed="14"/>
      </bottom>
      <diagonal/>
    </border>
    <border>
      <left style="thin">
        <color indexed="8"/>
      </left>
      <right style="thin">
        <color indexed="8"/>
      </right>
      <top style="thin">
        <color indexed="44"/>
      </top>
      <bottom style="thin">
        <color indexed="8"/>
      </bottom>
      <diagonal/>
    </border>
    <border>
      <left style="thin">
        <color indexed="8"/>
      </left>
      <right style="thin">
        <color indexed="8"/>
      </right>
      <top style="thin">
        <color indexed="41"/>
      </top>
      <bottom style="thin">
        <color indexed="8"/>
      </bottom>
      <diagonal/>
    </border>
    <border>
      <left style="thin">
        <color indexed="12"/>
      </left>
      <right/>
      <top style="thin">
        <color indexed="8"/>
      </top>
      <bottom/>
      <diagonal/>
    </border>
    <border>
      <left/>
      <right style="thin">
        <color indexed="12"/>
      </right>
      <top style="thin">
        <color indexed="8"/>
      </top>
      <bottom/>
      <diagonal/>
    </border>
    <border>
      <left style="thin">
        <color indexed="12"/>
      </left>
      <right style="thin">
        <color indexed="12"/>
      </right>
      <top style="thin">
        <color indexed="8"/>
      </top>
      <bottom/>
      <diagonal/>
    </border>
    <border>
      <left style="thin">
        <color indexed="12"/>
      </left>
      <right style="thin">
        <color indexed="12"/>
      </right>
      <top/>
      <bottom style="thin">
        <color indexed="8"/>
      </bottom>
      <diagonal/>
    </border>
    <border>
      <left style="thin">
        <color indexed="12"/>
      </left>
      <right style="thin">
        <color indexed="12"/>
      </right>
      <top style="thin">
        <color indexed="8"/>
      </top>
      <bottom style="thin">
        <color indexed="8"/>
      </bottom>
      <diagonal/>
    </border>
    <border>
      <left/>
      <right style="thin">
        <color indexed="12"/>
      </right>
      <top style="thin">
        <color indexed="64"/>
      </top>
      <bottom/>
      <diagonal/>
    </border>
    <border>
      <left style="thin">
        <color indexed="12"/>
      </left>
      <right style="thin">
        <color indexed="12"/>
      </right>
      <top style="thin">
        <color indexed="64"/>
      </top>
      <bottom/>
      <diagonal/>
    </border>
    <border>
      <left/>
      <right/>
      <top style="thin">
        <color indexed="64"/>
      </top>
      <bottom/>
      <diagonal/>
    </border>
    <border>
      <left/>
      <right style="thin">
        <color indexed="11"/>
      </right>
      <top style="thin">
        <color indexed="11"/>
      </top>
      <bottom style="thin">
        <color indexed="11"/>
      </bottom>
      <diagonal/>
    </border>
    <border>
      <left/>
      <right style="thin">
        <color indexed="11"/>
      </right>
      <top style="thin">
        <color indexed="11"/>
      </top>
      <bottom style="thin">
        <color indexed="33"/>
      </bottom>
      <diagonal/>
    </border>
    <border>
      <left/>
      <right style="thin">
        <color indexed="11"/>
      </right>
      <top style="thin">
        <color indexed="33"/>
      </top>
      <bottom/>
      <diagonal/>
    </border>
    <border>
      <left/>
      <right style="thin">
        <color indexed="11"/>
      </right>
      <top/>
      <bottom/>
      <diagonal/>
    </border>
    <border>
      <left/>
      <right style="thin">
        <color indexed="11"/>
      </right>
      <top/>
      <bottom style="thin">
        <color indexed="11"/>
      </bottom>
      <diagonal/>
    </border>
    <border>
      <left/>
      <right style="thin">
        <color indexed="11"/>
      </right>
      <top style="thin">
        <color indexed="11"/>
      </top>
      <bottom/>
      <diagonal/>
    </border>
    <border>
      <left/>
      <right/>
      <top/>
      <bottom style="thin">
        <color indexed="33"/>
      </bottom>
      <diagonal/>
    </border>
    <border>
      <left/>
      <right/>
      <top style="thin">
        <color indexed="33"/>
      </top>
      <bottom/>
      <diagonal/>
    </border>
    <border>
      <left style="thin">
        <color indexed="11"/>
      </left>
      <right/>
      <top style="thin">
        <color indexed="11"/>
      </top>
      <bottom style="thin">
        <color indexed="11"/>
      </bottom>
      <diagonal/>
    </border>
    <border>
      <left style="thin">
        <color indexed="11"/>
      </left>
      <right/>
      <top style="thin">
        <color indexed="11"/>
      </top>
      <bottom style="thin">
        <color indexed="33"/>
      </bottom>
      <diagonal/>
    </border>
    <border>
      <left style="thin">
        <color indexed="11"/>
      </left>
      <right/>
      <top style="thin">
        <color indexed="33"/>
      </top>
      <bottom/>
      <diagonal/>
    </border>
    <border>
      <left style="thin">
        <color indexed="11"/>
      </left>
      <right/>
      <top/>
      <bottom/>
      <diagonal/>
    </border>
    <border>
      <left style="thin">
        <color indexed="11"/>
      </left>
      <right/>
      <top/>
      <bottom style="thin">
        <color indexed="11"/>
      </bottom>
      <diagonal/>
    </border>
    <border>
      <left style="thin">
        <color indexed="11"/>
      </left>
      <right/>
      <top style="thin">
        <color indexed="11"/>
      </top>
      <bottom/>
      <diagonal/>
    </border>
    <border>
      <left/>
      <right style="thin">
        <color indexed="11"/>
      </right>
      <top style="thin">
        <color indexed="64"/>
      </top>
      <bottom style="thin">
        <color indexed="11"/>
      </bottom>
      <diagonal/>
    </border>
    <border>
      <left style="thin">
        <color indexed="11"/>
      </left>
      <right/>
      <top style="thin">
        <color indexed="64"/>
      </top>
      <bottom style="thin">
        <color indexed="11"/>
      </bottom>
      <diagonal/>
    </border>
  </borders>
  <cellStyleXfs count="1">
    <xf numFmtId="0" fontId="0" fillId="0" borderId="0" applyNumberFormat="0" applyFill="0" applyBorder="0" applyProtection="0"/>
  </cellStyleXfs>
  <cellXfs count="200">
    <xf numFmtId="0" fontId="0" fillId="0" borderId="0" xfId="0" applyFont="1" applyAlignment="1"/>
    <xf numFmtId="0" fontId="0" fillId="0" borderId="0" xfId="0" applyNumberFormat="1" applyFont="1" applyAlignment="1"/>
    <xf numFmtId="0" fontId="3" fillId="2" borderId="2" xfId="0" applyFont="1" applyFill="1" applyBorder="1" applyAlignment="1">
      <alignment vertical="center"/>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wrapText="1"/>
    </xf>
    <xf numFmtId="2" fontId="7" fillId="2" borderId="7" xfId="0" applyNumberFormat="1" applyFont="1" applyFill="1" applyBorder="1" applyAlignment="1">
      <alignment vertical="center"/>
    </xf>
    <xf numFmtId="49" fontId="8" fillId="0" borderId="7" xfId="0" applyNumberFormat="1" applyFont="1" applyBorder="1" applyAlignment="1">
      <alignment horizontal="left" vertical="center"/>
    </xf>
    <xf numFmtId="9" fontId="8" fillId="0" borderId="7" xfId="0" applyNumberFormat="1" applyFont="1" applyBorder="1" applyAlignment="1">
      <alignment horizontal="right" vertical="center"/>
    </xf>
    <xf numFmtId="0" fontId="0" fillId="2" borderId="10" xfId="0" applyFont="1" applyFill="1" applyBorder="1" applyAlignment="1">
      <alignment vertical="center"/>
    </xf>
    <xf numFmtId="49" fontId="10" fillId="0" borderId="11" xfId="0" applyNumberFormat="1" applyFont="1" applyBorder="1" applyAlignment="1">
      <alignment horizontal="left" vertical="center"/>
    </xf>
    <xf numFmtId="0" fontId="11" fillId="0" borderId="11" xfId="0" applyFont="1" applyBorder="1" applyAlignment="1">
      <alignment horizontal="right" vertical="center"/>
    </xf>
    <xf numFmtId="0" fontId="0" fillId="2" borderId="12" xfId="0" applyFont="1" applyFill="1" applyBorder="1" applyAlignment="1">
      <alignment vertical="center"/>
    </xf>
    <xf numFmtId="49" fontId="11" fillId="0" borderId="11" xfId="0" applyNumberFormat="1" applyFont="1" applyBorder="1" applyAlignment="1">
      <alignment horizontal="left" vertical="center"/>
    </xf>
    <xf numFmtId="0" fontId="11" fillId="0" borderId="11" xfId="0" applyNumberFormat="1" applyFont="1" applyBorder="1" applyAlignment="1">
      <alignment horizontal="right" vertical="center"/>
    </xf>
    <xf numFmtId="49" fontId="12" fillId="0" borderId="11" xfId="0" applyNumberFormat="1" applyFont="1" applyBorder="1" applyAlignment="1">
      <alignment horizontal="left" vertical="center"/>
    </xf>
    <xf numFmtId="165" fontId="12" fillId="0" borderId="11" xfId="0" applyNumberFormat="1" applyFont="1" applyBorder="1" applyAlignment="1">
      <alignment horizontal="right" vertical="center"/>
    </xf>
    <xf numFmtId="166" fontId="13" fillId="0" borderId="11" xfId="0" applyNumberFormat="1" applyFont="1" applyBorder="1" applyAlignment="1">
      <alignment horizontal="right" vertical="center"/>
    </xf>
    <xf numFmtId="49" fontId="14" fillId="0" borderId="11" xfId="0" applyNumberFormat="1" applyFont="1" applyBorder="1" applyAlignment="1">
      <alignment horizontal="left" vertical="center"/>
    </xf>
    <xf numFmtId="0" fontId="15" fillId="0" borderId="11" xfId="0" applyNumberFormat="1" applyFont="1" applyBorder="1" applyAlignment="1">
      <alignment horizontal="right" vertical="center"/>
    </xf>
    <xf numFmtId="49" fontId="12" fillId="0" borderId="11" xfId="0" applyNumberFormat="1" applyFont="1" applyBorder="1" applyAlignment="1">
      <alignment horizontal="left" vertical="center" wrapText="1"/>
    </xf>
    <xf numFmtId="167" fontId="12" fillId="0" borderId="11" xfId="0" applyNumberFormat="1" applyFont="1" applyBorder="1" applyAlignment="1">
      <alignment horizontal="right" vertical="center" wrapText="1"/>
    </xf>
    <xf numFmtId="167" fontId="16" fillId="0" borderId="11" xfId="0" applyNumberFormat="1" applyFont="1" applyBorder="1" applyAlignment="1">
      <alignment horizontal="right" vertical="center"/>
    </xf>
    <xf numFmtId="167" fontId="13" fillId="0" borderId="11" xfId="0" applyNumberFormat="1" applyFont="1" applyBorder="1" applyAlignment="1">
      <alignment horizontal="right" vertical="center"/>
    </xf>
    <xf numFmtId="0" fontId="13" fillId="0" borderId="11" xfId="0" applyNumberFormat="1" applyFont="1" applyBorder="1" applyAlignment="1">
      <alignment horizontal="right" vertical="center"/>
    </xf>
    <xf numFmtId="0" fontId="0" fillId="2" borderId="11" xfId="0" applyFont="1" applyFill="1" applyBorder="1" applyAlignment="1">
      <alignment horizontal="left" vertical="center"/>
    </xf>
    <xf numFmtId="0" fontId="0" fillId="2" borderId="11" xfId="0" applyFont="1" applyFill="1" applyBorder="1" applyAlignment="1">
      <alignment horizontal="right" vertical="center"/>
    </xf>
    <xf numFmtId="167" fontId="12" fillId="0" borderId="11" xfId="0" applyNumberFormat="1" applyFont="1" applyBorder="1" applyAlignment="1">
      <alignment horizontal="right" vertical="center"/>
    </xf>
    <xf numFmtId="49" fontId="17" fillId="0" borderId="13" xfId="0" applyNumberFormat="1" applyFont="1" applyBorder="1" applyAlignment="1">
      <alignment horizontal="left" vertical="center"/>
    </xf>
    <xf numFmtId="167" fontId="12" fillId="2" borderId="14" xfId="0" applyNumberFormat="1" applyFont="1" applyFill="1" applyBorder="1" applyAlignment="1">
      <alignment horizontal="right" vertical="center"/>
    </xf>
    <xf numFmtId="0" fontId="0" fillId="2" borderId="15" xfId="0" applyFont="1" applyFill="1" applyBorder="1" applyAlignment="1">
      <alignment vertical="center"/>
    </xf>
    <xf numFmtId="0" fontId="0" fillId="2" borderId="16" xfId="0" applyFont="1" applyFill="1" applyBorder="1" applyAlignment="1"/>
    <xf numFmtId="49" fontId="12" fillId="0" borderId="14" xfId="0" applyNumberFormat="1" applyFont="1" applyBorder="1" applyAlignment="1">
      <alignment horizontal="left" vertical="center"/>
    </xf>
    <xf numFmtId="0" fontId="12" fillId="0" borderId="14" xfId="0" applyNumberFormat="1" applyFont="1" applyBorder="1" applyAlignment="1">
      <alignment horizontal="right" vertical="center"/>
    </xf>
    <xf numFmtId="49" fontId="12" fillId="0" borderId="14" xfId="0" applyNumberFormat="1" applyFont="1" applyBorder="1" applyAlignment="1">
      <alignment horizontal="right" vertical="center"/>
    </xf>
    <xf numFmtId="49" fontId="17" fillId="0" borderId="14" xfId="0" applyNumberFormat="1" applyFont="1" applyBorder="1" applyAlignment="1">
      <alignment horizontal="left" vertical="center"/>
    </xf>
    <xf numFmtId="49" fontId="17" fillId="0" borderId="14" xfId="0" applyNumberFormat="1" applyFont="1" applyBorder="1" applyAlignment="1">
      <alignment horizontal="right" vertical="center"/>
    </xf>
    <xf numFmtId="0" fontId="13" fillId="0" borderId="17" xfId="0" applyFont="1" applyBorder="1" applyAlignment="1">
      <alignment horizontal="right" vertical="center"/>
    </xf>
    <xf numFmtId="1" fontId="12" fillId="0" borderId="14" xfId="0" applyNumberFormat="1" applyFont="1" applyBorder="1" applyAlignment="1">
      <alignment horizontal="right" vertical="center"/>
    </xf>
    <xf numFmtId="0" fontId="17" fillId="0" borderId="11" xfId="0" applyFont="1" applyBorder="1" applyAlignment="1">
      <alignment horizontal="left" vertical="center"/>
    </xf>
    <xf numFmtId="0" fontId="18" fillId="0" borderId="11" xfId="0" applyFont="1" applyBorder="1" applyAlignment="1">
      <alignment horizontal="right" vertical="center"/>
    </xf>
    <xf numFmtId="0" fontId="3" fillId="2" borderId="12" xfId="0" applyFont="1" applyFill="1" applyBorder="1" applyAlignment="1">
      <alignment vertical="center"/>
    </xf>
    <xf numFmtId="49" fontId="8" fillId="0" borderId="11" xfId="0" applyNumberFormat="1" applyFont="1" applyBorder="1" applyAlignment="1">
      <alignment horizontal="left" vertical="center"/>
    </xf>
    <xf numFmtId="49" fontId="8" fillId="2" borderId="11" xfId="0" applyNumberFormat="1" applyFont="1" applyFill="1" applyBorder="1" applyAlignment="1">
      <alignment horizontal="right" vertical="center"/>
    </xf>
    <xf numFmtId="0" fontId="0" fillId="0" borderId="0" xfId="0" applyNumberFormat="1" applyFont="1" applyAlignment="1"/>
    <xf numFmtId="0" fontId="0" fillId="2" borderId="20" xfId="0" applyFont="1" applyFill="1" applyBorder="1" applyAlignment="1"/>
    <xf numFmtId="0" fontId="0" fillId="2" borderId="21" xfId="0" applyFont="1" applyFill="1" applyBorder="1" applyAlignment="1"/>
    <xf numFmtId="0" fontId="0" fillId="2" borderId="24" xfId="0" applyFont="1" applyFill="1" applyBorder="1" applyAlignment="1"/>
    <xf numFmtId="0" fontId="0" fillId="2" borderId="25" xfId="0" applyFont="1" applyFill="1" applyBorder="1" applyAlignment="1"/>
    <xf numFmtId="0" fontId="0" fillId="2" borderId="26" xfId="0" applyFont="1" applyFill="1" applyBorder="1" applyAlignment="1"/>
    <xf numFmtId="0" fontId="0" fillId="0" borderId="0" xfId="0" applyNumberFormat="1" applyFont="1" applyAlignment="1"/>
    <xf numFmtId="0" fontId="3" fillId="3" borderId="2" xfId="0" applyFont="1" applyFill="1" applyBorder="1" applyAlignment="1"/>
    <xf numFmtId="49" fontId="27" fillId="5" borderId="30" xfId="0" applyNumberFormat="1" applyFont="1" applyFill="1" applyBorder="1" applyAlignment="1">
      <alignment horizontal="center" vertical="center"/>
    </xf>
    <xf numFmtId="9" fontId="27" fillId="5" borderId="31" xfId="0" applyNumberFormat="1" applyFont="1" applyFill="1" applyBorder="1" applyAlignment="1">
      <alignment horizontal="center" vertical="center"/>
    </xf>
    <xf numFmtId="49" fontId="27" fillId="5" borderId="32" xfId="0" applyNumberFormat="1" applyFont="1" applyFill="1" applyBorder="1" applyAlignment="1">
      <alignment horizontal="center" vertical="center"/>
    </xf>
    <xf numFmtId="49" fontId="27" fillId="5" borderId="33" xfId="0" applyNumberFormat="1" applyFont="1" applyFill="1" applyBorder="1" applyAlignment="1">
      <alignment horizontal="center" vertical="center"/>
    </xf>
    <xf numFmtId="0" fontId="3" fillId="3" borderId="34" xfId="0" applyFont="1" applyFill="1" applyBorder="1" applyAlignment="1"/>
    <xf numFmtId="0" fontId="28" fillId="5" borderId="35" xfId="0" applyNumberFormat="1" applyFont="1" applyFill="1" applyBorder="1" applyAlignment="1">
      <alignment horizontal="left"/>
    </xf>
    <xf numFmtId="0" fontId="28" fillId="5" borderId="36" xfId="0" applyNumberFormat="1" applyFont="1" applyFill="1" applyBorder="1" applyAlignment="1">
      <alignment horizontal="left" vertical="center"/>
    </xf>
    <xf numFmtId="0" fontId="29" fillId="5" borderId="37" xfId="0" applyFont="1" applyFill="1" applyBorder="1" applyAlignment="1">
      <alignment horizontal="left" vertical="center"/>
    </xf>
    <xf numFmtId="0" fontId="29" fillId="5" borderId="38" xfId="0" applyFont="1" applyFill="1" applyBorder="1" applyAlignment="1">
      <alignment horizontal="left" vertical="center"/>
    </xf>
    <xf numFmtId="0" fontId="0" fillId="2" borderId="34" xfId="0" applyFont="1" applyFill="1" applyBorder="1" applyAlignment="1"/>
    <xf numFmtId="0" fontId="28" fillId="2" borderId="39" xfId="0" applyNumberFormat="1" applyFont="1" applyFill="1" applyBorder="1" applyAlignment="1">
      <alignment horizontal="left"/>
    </xf>
    <xf numFmtId="0" fontId="28" fillId="2" borderId="40" xfId="0" applyNumberFormat="1" applyFont="1" applyFill="1" applyBorder="1" applyAlignment="1">
      <alignment horizontal="left" vertical="center"/>
    </xf>
    <xf numFmtId="0" fontId="29" fillId="2" borderId="41" xfId="0" applyFont="1" applyFill="1" applyBorder="1" applyAlignment="1">
      <alignment horizontal="left" vertical="center"/>
    </xf>
    <xf numFmtId="0" fontId="29" fillId="2" borderId="42" xfId="0" applyFont="1" applyFill="1" applyBorder="1" applyAlignment="1">
      <alignment horizontal="left" vertical="center"/>
    </xf>
    <xf numFmtId="0" fontId="28" fillId="5" borderId="39" xfId="0" applyNumberFormat="1" applyFont="1" applyFill="1" applyBorder="1" applyAlignment="1">
      <alignment horizontal="left"/>
    </xf>
    <xf numFmtId="0" fontId="28" fillId="5" borderId="40" xfId="0" applyNumberFormat="1" applyFont="1" applyFill="1" applyBorder="1" applyAlignment="1">
      <alignment horizontal="left" vertical="center"/>
    </xf>
    <xf numFmtId="0" fontId="29" fillId="5" borderId="41" xfId="0" applyNumberFormat="1" applyFont="1" applyFill="1" applyBorder="1" applyAlignment="1">
      <alignment horizontal="left" vertical="center"/>
    </xf>
    <xf numFmtId="0" fontId="29" fillId="5" borderId="42" xfId="0" applyNumberFormat="1" applyFont="1" applyFill="1" applyBorder="1" applyAlignment="1">
      <alignment horizontal="left" vertical="center"/>
    </xf>
    <xf numFmtId="0" fontId="29" fillId="2" borderId="41" xfId="0" applyNumberFormat="1" applyFont="1" applyFill="1" applyBorder="1" applyAlignment="1">
      <alignment horizontal="left" vertical="center"/>
    </xf>
    <xf numFmtId="0" fontId="29" fillId="2" borderId="42" xfId="0" applyNumberFormat="1" applyFont="1" applyFill="1" applyBorder="1" applyAlignment="1">
      <alignment horizontal="left" vertical="center"/>
    </xf>
    <xf numFmtId="0" fontId="28" fillId="2" borderId="43" xfId="0" applyNumberFormat="1" applyFont="1" applyFill="1" applyBorder="1" applyAlignment="1">
      <alignment horizontal="left" vertical="center"/>
    </xf>
    <xf numFmtId="0" fontId="28" fillId="2" borderId="44" xfId="0" applyNumberFormat="1" applyFont="1" applyFill="1" applyBorder="1" applyAlignment="1">
      <alignment horizontal="left" vertical="center"/>
    </xf>
    <xf numFmtId="0" fontId="29" fillId="2" borderId="45" xfId="0" applyNumberFormat="1" applyFont="1" applyFill="1" applyBorder="1" applyAlignment="1">
      <alignment horizontal="left" vertical="center"/>
    </xf>
    <xf numFmtId="0" fontId="29" fillId="2" borderId="46" xfId="0" applyNumberFormat="1" applyFont="1" applyFill="1" applyBorder="1" applyAlignment="1">
      <alignment horizontal="left" vertical="center"/>
    </xf>
    <xf numFmtId="0" fontId="27" fillId="0" borderId="47" xfId="0" applyFont="1" applyBorder="1" applyAlignment="1">
      <alignment horizontal="left"/>
    </xf>
    <xf numFmtId="0" fontId="30" fillId="0" borderId="47" xfId="0" applyFont="1" applyBorder="1" applyAlignment="1">
      <alignment horizontal="left"/>
    </xf>
    <xf numFmtId="0" fontId="3" fillId="0" borderId="48" xfId="0" applyFont="1" applyBorder="1" applyAlignment="1"/>
    <xf numFmtId="0" fontId="27" fillId="0" borderId="48" xfId="0" applyFont="1" applyBorder="1" applyAlignment="1">
      <alignment horizontal="left"/>
    </xf>
    <xf numFmtId="0" fontId="27" fillId="2" borderId="48" xfId="0" applyFont="1" applyFill="1" applyBorder="1" applyAlignment="1">
      <alignment horizontal="left" vertical="center"/>
    </xf>
    <xf numFmtId="0" fontId="30" fillId="2" borderId="48" xfId="0" applyFont="1" applyFill="1" applyBorder="1" applyAlignment="1">
      <alignment horizontal="left" vertical="center"/>
    </xf>
    <xf numFmtId="0" fontId="3" fillId="0" borderId="49" xfId="0" applyFont="1" applyBorder="1" applyAlignment="1"/>
    <xf numFmtId="0" fontId="0" fillId="0" borderId="0" xfId="0" applyNumberFormat="1" applyFont="1" applyAlignment="1"/>
    <xf numFmtId="49" fontId="20" fillId="6" borderId="11" xfId="0" applyNumberFormat="1" applyFont="1" applyFill="1" applyBorder="1" applyAlignment="1">
      <alignment horizontal="left" vertical="center"/>
    </xf>
    <xf numFmtId="49" fontId="20" fillId="6" borderId="11" xfId="0" applyNumberFormat="1" applyFont="1" applyFill="1" applyBorder="1" applyAlignment="1">
      <alignment horizontal="center" vertical="center"/>
    </xf>
    <xf numFmtId="49" fontId="20" fillId="5" borderId="50" xfId="0" applyNumberFormat="1" applyFont="1" applyFill="1" applyBorder="1" applyAlignment="1">
      <alignment horizontal="left"/>
    </xf>
    <xf numFmtId="3" fontId="6" fillId="2" borderId="4" xfId="0" applyNumberFormat="1" applyFont="1" applyFill="1" applyBorder="1" applyAlignment="1">
      <alignment horizontal="right"/>
    </xf>
    <xf numFmtId="49" fontId="20" fillId="5" borderId="51" xfId="0" applyNumberFormat="1" applyFont="1" applyFill="1" applyBorder="1" applyAlignment="1">
      <alignment horizontal="left"/>
    </xf>
    <xf numFmtId="3" fontId="6" fillId="2" borderId="52" xfId="0" applyNumberFormat="1" applyFont="1" applyFill="1" applyBorder="1" applyAlignment="1">
      <alignment horizontal="right"/>
    </xf>
    <xf numFmtId="3" fontId="6" fillId="2" borderId="51" xfId="0" applyNumberFormat="1" applyFont="1" applyFill="1" applyBorder="1" applyAlignment="1">
      <alignment horizontal="right"/>
    </xf>
    <xf numFmtId="49" fontId="20" fillId="5" borderId="53" xfId="0" applyNumberFormat="1" applyFont="1" applyFill="1" applyBorder="1" applyAlignment="1">
      <alignment horizontal="left"/>
    </xf>
    <xf numFmtId="49" fontId="20" fillId="5" borderId="54" xfId="0" applyNumberFormat="1" applyFont="1" applyFill="1" applyBorder="1" applyAlignment="1">
      <alignment horizontal="left"/>
    </xf>
    <xf numFmtId="3" fontId="6" fillId="2" borderId="55" xfId="0" applyNumberFormat="1" applyFont="1" applyFill="1" applyBorder="1" applyAlignment="1">
      <alignment horizontal="right"/>
    </xf>
    <xf numFmtId="3" fontId="21" fillId="2" borderId="52" xfId="0" applyNumberFormat="1" applyFont="1" applyFill="1" applyBorder="1" applyAlignment="1">
      <alignment horizontal="right"/>
    </xf>
    <xf numFmtId="49" fontId="20" fillId="5" borderId="56" xfId="0" applyNumberFormat="1" applyFont="1" applyFill="1" applyBorder="1" applyAlignment="1">
      <alignment horizontal="left"/>
    </xf>
    <xf numFmtId="0" fontId="0" fillId="2" borderId="57" xfId="0" applyFont="1" applyFill="1" applyBorder="1" applyAlignment="1"/>
    <xf numFmtId="0" fontId="0" fillId="2" borderId="58" xfId="0" applyFont="1" applyFill="1" applyBorder="1" applyAlignment="1"/>
    <xf numFmtId="0" fontId="0" fillId="2" borderId="59" xfId="0" applyFont="1" applyFill="1" applyBorder="1" applyAlignment="1"/>
    <xf numFmtId="0" fontId="0" fillId="2" borderId="22" xfId="0" applyFont="1" applyFill="1" applyBorder="1" applyAlignment="1"/>
    <xf numFmtId="0" fontId="0" fillId="2" borderId="23" xfId="0" applyFont="1" applyFill="1" applyBorder="1" applyAlignment="1"/>
    <xf numFmtId="0" fontId="0" fillId="0" borderId="0" xfId="0" applyNumberFormat="1" applyFont="1" applyAlignment="1"/>
    <xf numFmtId="49" fontId="28" fillId="2" borderId="60" xfId="0" applyNumberFormat="1" applyFont="1" applyFill="1" applyBorder="1" applyAlignment="1">
      <alignment horizontal="left" vertical="center" wrapText="1"/>
    </xf>
    <xf numFmtId="49" fontId="28" fillId="2" borderId="21" xfId="0" applyNumberFormat="1" applyFont="1" applyFill="1" applyBorder="1" applyAlignment="1">
      <alignment horizontal="left" vertical="center" wrapText="1"/>
    </xf>
    <xf numFmtId="49" fontId="28" fillId="2" borderId="61" xfId="0" applyNumberFormat="1" applyFont="1" applyFill="1" applyBorder="1" applyAlignment="1">
      <alignment horizontal="left" vertical="center" wrapText="1"/>
    </xf>
    <xf numFmtId="49" fontId="28" fillId="2" borderId="62" xfId="0" applyNumberFormat="1" applyFont="1" applyFill="1" applyBorder="1" applyAlignment="1">
      <alignment horizontal="left" vertical="center" wrapText="1"/>
    </xf>
    <xf numFmtId="49" fontId="27" fillId="2" borderId="61" xfId="0" applyNumberFormat="1" applyFont="1" applyFill="1" applyBorder="1" applyAlignment="1">
      <alignment horizontal="left" vertical="center" wrapText="1"/>
    </xf>
    <xf numFmtId="49" fontId="32" fillId="2" borderId="21" xfId="0" applyNumberFormat="1" applyFont="1" applyFill="1" applyBorder="1" applyAlignment="1">
      <alignment horizontal="right" vertical="center" wrapText="1"/>
    </xf>
    <xf numFmtId="0" fontId="0" fillId="2" borderId="61" xfId="0" applyFont="1" applyFill="1" applyBorder="1" applyAlignment="1"/>
    <xf numFmtId="49" fontId="2" fillId="0" borderId="1" xfId="0" applyNumberFormat="1" applyFont="1" applyBorder="1" applyAlignment="1" applyProtection="1">
      <alignment horizontal="right" vertical="center"/>
      <protection locked="0"/>
    </xf>
    <xf numFmtId="49" fontId="2" fillId="0" borderId="3" xfId="0" applyNumberFormat="1" applyFont="1" applyBorder="1" applyAlignment="1" applyProtection="1">
      <alignment horizontal="right" vertical="center"/>
      <protection locked="0"/>
    </xf>
    <xf numFmtId="49" fontId="4" fillId="0" borderId="4" xfId="0" applyNumberFormat="1" applyFont="1" applyBorder="1" applyAlignment="1" applyProtection="1">
      <alignment horizontal="right" vertical="center"/>
      <protection locked="0"/>
    </xf>
    <xf numFmtId="49" fontId="4" fillId="0" borderId="5" xfId="0" applyNumberFormat="1" applyFont="1" applyBorder="1" applyAlignment="1" applyProtection="1">
      <alignment horizontal="right" vertical="center"/>
      <protection locked="0"/>
    </xf>
    <xf numFmtId="0" fontId="2" fillId="0" borderId="5" xfId="0" applyNumberFormat="1" applyFont="1" applyBorder="1" applyAlignment="1" applyProtection="1">
      <alignment horizontal="right" vertical="center"/>
      <protection locked="0"/>
    </xf>
    <xf numFmtId="0" fontId="5" fillId="2" borderId="8" xfId="0" applyFont="1" applyFill="1" applyBorder="1" applyAlignment="1" applyProtection="1">
      <alignment horizontal="right" vertical="center"/>
      <protection locked="0"/>
    </xf>
    <xf numFmtId="0" fontId="4" fillId="0" borderId="9" xfId="0" applyNumberFormat="1" applyFont="1" applyBorder="1" applyAlignment="1" applyProtection="1">
      <alignment horizontal="right" vertical="center"/>
      <protection locked="0"/>
    </xf>
    <xf numFmtId="0" fontId="4" fillId="0" borderId="7" xfId="0" applyNumberFormat="1" applyFont="1" applyBorder="1" applyAlignment="1" applyProtection="1">
      <alignment horizontal="right" vertical="center"/>
      <protection locked="0"/>
    </xf>
    <xf numFmtId="49" fontId="6" fillId="2" borderId="18" xfId="0" applyNumberFormat="1" applyFont="1" applyFill="1" applyBorder="1" applyAlignment="1" applyProtection="1">
      <alignment horizontal="left" vertical="center"/>
      <protection locked="0"/>
    </xf>
    <xf numFmtId="0" fontId="6" fillId="2" borderId="19" xfId="0" applyNumberFormat="1" applyFont="1" applyFill="1" applyBorder="1" applyAlignment="1" applyProtection="1">
      <alignment horizontal="right" vertical="top"/>
      <protection locked="0"/>
    </xf>
    <xf numFmtId="49" fontId="6" fillId="2" borderId="6" xfId="0" applyNumberFormat="1" applyFont="1" applyFill="1" applyBorder="1" applyAlignment="1" applyProtection="1">
      <alignment horizontal="left" vertical="center"/>
      <protection locked="0"/>
    </xf>
    <xf numFmtId="0" fontId="6" fillId="2" borderId="6" xfId="0" applyNumberFormat="1" applyFont="1" applyFill="1" applyBorder="1" applyAlignment="1" applyProtection="1">
      <alignment horizontal="right" vertical="top"/>
      <protection locked="0"/>
    </xf>
    <xf numFmtId="0" fontId="0" fillId="2" borderId="2" xfId="0" applyFont="1" applyFill="1" applyBorder="1" applyAlignment="1" applyProtection="1">
      <protection locked="0"/>
    </xf>
    <xf numFmtId="0" fontId="0" fillId="0" borderId="0" xfId="0" applyNumberFormat="1" applyFont="1" applyAlignment="1" applyProtection="1">
      <protection locked="0"/>
    </xf>
    <xf numFmtId="0" fontId="0" fillId="2" borderId="6" xfId="0" applyFont="1" applyFill="1" applyBorder="1" applyAlignment="1" applyProtection="1">
      <protection locked="0"/>
    </xf>
    <xf numFmtId="0" fontId="0" fillId="2" borderId="10" xfId="0" applyFont="1" applyFill="1" applyBorder="1" applyAlignment="1" applyProtection="1">
      <protection locked="0"/>
    </xf>
    <xf numFmtId="0" fontId="0" fillId="2" borderId="12" xfId="0" applyFont="1" applyFill="1" applyBorder="1" applyAlignment="1" applyProtection="1">
      <protection locked="0"/>
    </xf>
    <xf numFmtId="49" fontId="0" fillId="0" borderId="0" xfId="0" applyNumberFormat="1" applyFont="1" applyAlignment="1" applyProtection="1">
      <protection locked="0"/>
    </xf>
    <xf numFmtId="0" fontId="0" fillId="2" borderId="63" xfId="0" applyFont="1" applyFill="1" applyBorder="1" applyAlignment="1"/>
    <xf numFmtId="0" fontId="0" fillId="2" borderId="64" xfId="0" applyFont="1" applyFill="1" applyBorder="1" applyAlignment="1"/>
    <xf numFmtId="0" fontId="0" fillId="0" borderId="65" xfId="0" applyNumberFormat="1" applyFont="1" applyBorder="1" applyAlignment="1"/>
    <xf numFmtId="0" fontId="0" fillId="0" borderId="48" xfId="0" applyNumberFormat="1" applyFont="1" applyBorder="1" applyAlignment="1"/>
    <xf numFmtId="49" fontId="21" fillId="2" borderId="66" xfId="0" applyNumberFormat="1" applyFont="1" applyFill="1" applyBorder="1" applyAlignment="1">
      <alignment horizontal="left" vertical="center"/>
    </xf>
    <xf numFmtId="49" fontId="21" fillId="2" borderId="67" xfId="0" applyNumberFormat="1" applyFont="1" applyFill="1" applyBorder="1" applyAlignment="1">
      <alignment horizontal="left" vertical="center"/>
    </xf>
    <xf numFmtId="49" fontId="21" fillId="2" borderId="68" xfId="0" applyNumberFormat="1" applyFont="1" applyFill="1" applyBorder="1" applyAlignment="1">
      <alignment horizontal="left" vertical="center"/>
    </xf>
    <xf numFmtId="49" fontId="21" fillId="2" borderId="69" xfId="0" applyNumberFormat="1" applyFont="1" applyFill="1" applyBorder="1" applyAlignment="1">
      <alignment horizontal="left" vertical="center"/>
    </xf>
    <xf numFmtId="49" fontId="21" fillId="2" borderId="70" xfId="0" applyNumberFormat="1" applyFont="1" applyFill="1" applyBorder="1" applyAlignment="1">
      <alignment horizontal="left" vertical="center"/>
    </xf>
    <xf numFmtId="49" fontId="21" fillId="2" borderId="71" xfId="0" applyNumberFormat="1" applyFont="1" applyFill="1" applyBorder="1" applyAlignment="1">
      <alignment horizontal="left" vertical="center"/>
    </xf>
    <xf numFmtId="49" fontId="21" fillId="2" borderId="69" xfId="0" applyNumberFormat="1" applyFont="1" applyFill="1" applyBorder="1" applyAlignment="1">
      <alignment horizontal="left"/>
    </xf>
    <xf numFmtId="49" fontId="23" fillId="2" borderId="66" xfId="0" applyNumberFormat="1" applyFont="1" applyFill="1" applyBorder="1" applyAlignment="1">
      <alignment horizontal="left" vertical="center"/>
    </xf>
    <xf numFmtId="49" fontId="23" fillId="2" borderId="48" xfId="0" applyNumberFormat="1" applyFont="1" applyFill="1" applyBorder="1" applyAlignment="1">
      <alignment horizontal="left" vertical="center"/>
    </xf>
    <xf numFmtId="49" fontId="24" fillId="2" borderId="72" xfId="0" applyNumberFormat="1" applyFont="1" applyFill="1" applyBorder="1" applyAlignment="1">
      <alignment horizontal="left" vertical="center"/>
    </xf>
    <xf numFmtId="49" fontId="24" fillId="2" borderId="73" xfId="0" applyNumberFormat="1" applyFont="1" applyFill="1" applyBorder="1" applyAlignment="1">
      <alignment horizontal="left" vertical="center"/>
    </xf>
    <xf numFmtId="49" fontId="25" fillId="2" borderId="70" xfId="0" applyNumberFormat="1" applyFont="1" applyFill="1" applyBorder="1" applyAlignment="1">
      <alignment horizontal="left" vertical="center"/>
    </xf>
    <xf numFmtId="49" fontId="25" fillId="2" borderId="66" xfId="0" applyNumberFormat="1" applyFont="1" applyFill="1" applyBorder="1" applyAlignment="1">
      <alignment horizontal="left" vertical="center"/>
    </xf>
    <xf numFmtId="49" fontId="26" fillId="2" borderId="71" xfId="0" applyNumberFormat="1" applyFont="1" applyFill="1" applyBorder="1" applyAlignment="1">
      <alignment horizontal="left" vertical="center"/>
    </xf>
    <xf numFmtId="0" fontId="1" fillId="2" borderId="48" xfId="0" applyFont="1" applyFill="1" applyBorder="1" applyAlignment="1"/>
    <xf numFmtId="0" fontId="0" fillId="2" borderId="48" xfId="0" applyFont="1" applyFill="1" applyBorder="1" applyAlignment="1"/>
    <xf numFmtId="168" fontId="21" fillId="2" borderId="74" xfId="0" applyNumberFormat="1" applyFont="1" applyFill="1" applyBorder="1" applyAlignment="1" applyProtection="1">
      <alignment horizontal="left" vertical="center"/>
      <protection locked="0"/>
    </xf>
    <xf numFmtId="49" fontId="21" fillId="2" borderId="74" xfId="0" applyNumberFormat="1" applyFont="1" applyFill="1" applyBorder="1" applyAlignment="1" applyProtection="1">
      <alignment horizontal="left" vertical="center"/>
      <protection locked="0"/>
    </xf>
    <xf numFmtId="0" fontId="21" fillId="2" borderId="74" xfId="0" applyFont="1" applyFill="1" applyBorder="1" applyAlignment="1" applyProtection="1">
      <alignment horizontal="left" vertical="center"/>
      <protection locked="0"/>
    </xf>
    <xf numFmtId="49" fontId="21" fillId="2" borderId="75" xfId="0" applyNumberFormat="1" applyFont="1" applyFill="1" applyBorder="1" applyAlignment="1">
      <alignment horizontal="left" vertical="center"/>
    </xf>
    <xf numFmtId="49" fontId="21" fillId="2" borderId="76" xfId="0" applyNumberFormat="1" applyFont="1" applyFill="1" applyBorder="1" applyAlignment="1">
      <alignment horizontal="left" vertical="center"/>
    </xf>
    <xf numFmtId="49" fontId="21" fillId="2" borderId="77" xfId="0" applyNumberFormat="1" applyFont="1" applyFill="1" applyBorder="1" applyAlignment="1">
      <alignment horizontal="left" vertical="center"/>
    </xf>
    <xf numFmtId="1" fontId="21" fillId="2" borderId="77" xfId="0" applyNumberFormat="1" applyFont="1" applyFill="1" applyBorder="1" applyAlignment="1">
      <alignment horizontal="left" vertical="center"/>
    </xf>
    <xf numFmtId="49" fontId="21" fillId="2" borderId="78" xfId="0" applyNumberFormat="1" applyFont="1" applyFill="1" applyBorder="1" applyAlignment="1">
      <alignment horizontal="left" vertical="center"/>
    </xf>
    <xf numFmtId="0" fontId="22" fillId="2" borderId="79" xfId="0" applyFont="1" applyFill="1" applyBorder="1" applyAlignment="1" applyProtection="1">
      <alignment horizontal="left" vertical="center"/>
      <protection locked="0"/>
    </xf>
    <xf numFmtId="0" fontId="21" fillId="2" borderId="77" xfId="0" applyFont="1" applyFill="1" applyBorder="1" applyAlignment="1" applyProtection="1">
      <alignment horizontal="left" vertical="center"/>
      <protection locked="0"/>
    </xf>
    <xf numFmtId="9" fontId="21" fillId="2" borderId="79" xfId="0" applyNumberFormat="1" applyFont="1" applyFill="1" applyBorder="1" applyAlignment="1">
      <alignment horizontal="left" vertical="center"/>
    </xf>
    <xf numFmtId="169" fontId="21" fillId="2" borderId="78" xfId="0" applyNumberFormat="1" applyFont="1" applyFill="1" applyBorder="1" applyAlignment="1">
      <alignment horizontal="left" vertical="center"/>
    </xf>
    <xf numFmtId="169" fontId="21" fillId="2" borderId="74" xfId="0" applyNumberFormat="1" applyFont="1" applyFill="1" applyBorder="1" applyAlignment="1">
      <alignment horizontal="left" vertical="center"/>
    </xf>
    <xf numFmtId="49" fontId="23" fillId="2" borderId="74" xfId="0" applyNumberFormat="1" applyFont="1" applyFill="1" applyBorder="1" applyAlignment="1" applyProtection="1">
      <alignment horizontal="left" vertical="center"/>
      <protection locked="0"/>
    </xf>
    <xf numFmtId="2" fontId="21" fillId="2" borderId="79" xfId="0" applyNumberFormat="1" applyFont="1" applyFill="1" applyBorder="1" applyAlignment="1">
      <alignment horizontal="left" vertical="center"/>
    </xf>
    <xf numFmtId="49" fontId="23" fillId="2" borderId="48" xfId="0" applyNumberFormat="1" applyFont="1" applyFill="1" applyBorder="1" applyAlignment="1" applyProtection="1">
      <alignment horizontal="left" vertical="center"/>
      <protection locked="0"/>
    </xf>
    <xf numFmtId="0" fontId="24" fillId="2" borderId="72" xfId="0" applyFont="1" applyFill="1" applyBorder="1" applyAlignment="1">
      <alignment horizontal="left" vertical="center"/>
    </xf>
    <xf numFmtId="0" fontId="24" fillId="2" borderId="73" xfId="0" applyFont="1" applyFill="1" applyBorder="1" applyAlignment="1">
      <alignment horizontal="left" vertical="center"/>
    </xf>
    <xf numFmtId="49" fontId="25" fillId="2" borderId="78" xfId="0" applyNumberFormat="1" applyFont="1" applyFill="1" applyBorder="1" applyAlignment="1">
      <alignment horizontal="left" vertical="center"/>
    </xf>
    <xf numFmtId="49" fontId="25" fillId="2" borderId="74" xfId="0" applyNumberFormat="1" applyFont="1" applyFill="1" applyBorder="1" applyAlignment="1">
      <alignment horizontal="left" vertical="center"/>
    </xf>
    <xf numFmtId="49" fontId="26" fillId="2" borderId="79" xfId="0" applyNumberFormat="1" applyFont="1" applyFill="1" applyBorder="1" applyAlignment="1">
      <alignment horizontal="left" vertical="center"/>
    </xf>
    <xf numFmtId="49" fontId="6" fillId="2" borderId="80" xfId="0" applyNumberFormat="1" applyFont="1" applyFill="1" applyBorder="1" applyAlignment="1">
      <alignment horizontal="left" vertical="center"/>
    </xf>
    <xf numFmtId="0" fontId="20" fillId="2" borderId="81" xfId="0" applyFont="1" applyFill="1" applyBorder="1" applyAlignment="1">
      <alignment horizontal="left" vertical="center"/>
    </xf>
    <xf numFmtId="49" fontId="19" fillId="2" borderId="69" xfId="0" applyNumberFormat="1" applyFont="1" applyFill="1" applyBorder="1" applyAlignment="1">
      <alignment horizontal="left" vertical="center"/>
    </xf>
    <xf numFmtId="0" fontId="19" fillId="2" borderId="77" xfId="0" applyFont="1" applyFill="1" applyBorder="1" applyAlignment="1">
      <alignment horizontal="left"/>
    </xf>
    <xf numFmtId="49" fontId="2" fillId="0" borderId="9" xfId="0" applyNumberFormat="1" applyFont="1" applyBorder="1" applyAlignment="1">
      <alignment horizontal="left" vertical="center"/>
    </xf>
    <xf numFmtId="0" fontId="3" fillId="3" borderId="6" xfId="0" applyFont="1" applyFill="1" applyBorder="1" applyAlignment="1"/>
    <xf numFmtId="49" fontId="2" fillId="0" borderId="7" xfId="0" applyNumberFormat="1" applyFont="1" applyBorder="1" applyAlignment="1">
      <alignment horizontal="left" vertical="center"/>
    </xf>
    <xf numFmtId="0" fontId="3" fillId="2" borderId="6" xfId="0" applyFont="1" applyFill="1" applyBorder="1" applyAlignment="1">
      <alignment vertical="center"/>
    </xf>
    <xf numFmtId="0" fontId="0" fillId="2" borderId="6" xfId="0" applyFont="1" applyFill="1" applyBorder="1" applyAlignment="1">
      <alignment vertical="center"/>
    </xf>
    <xf numFmtId="0" fontId="0" fillId="2" borderId="6" xfId="0" applyFont="1" applyFill="1" applyBorder="1" applyAlignment="1"/>
    <xf numFmtId="49" fontId="2" fillId="0" borderId="6" xfId="0" applyNumberFormat="1" applyFont="1" applyBorder="1" applyAlignment="1">
      <alignment horizontal="left" vertical="center"/>
    </xf>
    <xf numFmtId="49" fontId="6" fillId="0" borderId="9" xfId="0" applyNumberFormat="1" applyFont="1" applyBorder="1" applyAlignment="1">
      <alignment horizontal="left" vertical="center"/>
    </xf>
    <xf numFmtId="0" fontId="6" fillId="0" borderId="9" xfId="0" applyNumberFormat="1" applyFont="1" applyBorder="1" applyAlignment="1">
      <alignment horizontal="right" vertical="center"/>
    </xf>
    <xf numFmtId="49" fontId="6" fillId="0" borderId="6" xfId="0" applyNumberFormat="1" applyFont="1" applyBorder="1" applyAlignment="1">
      <alignment horizontal="left" vertical="center"/>
    </xf>
    <xf numFmtId="49" fontId="6" fillId="0" borderId="6" xfId="0" applyNumberFormat="1" applyFont="1" applyBorder="1" applyAlignment="1">
      <alignment horizontal="right" vertical="center"/>
    </xf>
    <xf numFmtId="164" fontId="6" fillId="0" borderId="6" xfId="0" applyNumberFormat="1" applyFont="1" applyBorder="1" applyAlignment="1">
      <alignment horizontal="right" vertical="center"/>
    </xf>
    <xf numFmtId="49" fontId="6" fillId="0" borderId="7" xfId="0" applyNumberFormat="1" applyFont="1" applyBorder="1" applyAlignment="1">
      <alignment horizontal="left" vertical="center"/>
    </xf>
    <xf numFmtId="0" fontId="6" fillId="0" borderId="7" xfId="0" applyNumberFormat="1" applyFont="1" applyBorder="1" applyAlignment="1">
      <alignment horizontal="right" vertical="center"/>
    </xf>
    <xf numFmtId="11" fontId="6" fillId="0" borderId="9" xfId="0" applyNumberFormat="1" applyFont="1" applyBorder="1" applyAlignment="1">
      <alignment horizontal="right" vertical="center"/>
    </xf>
    <xf numFmtId="4" fontId="6" fillId="0" borderId="6" xfId="0" applyNumberFormat="1" applyFont="1" applyBorder="1" applyAlignment="1">
      <alignment horizontal="right" vertical="center"/>
    </xf>
    <xf numFmtId="49" fontId="6" fillId="0" borderId="9" xfId="0" applyNumberFormat="1" applyFont="1" applyBorder="1" applyAlignment="1">
      <alignment horizontal="left" vertical="center" wrapText="1"/>
    </xf>
    <xf numFmtId="49" fontId="6" fillId="0" borderId="7" xfId="0" applyNumberFormat="1" applyFont="1" applyBorder="1" applyAlignment="1">
      <alignment horizontal="left" vertical="center" wrapText="1"/>
    </xf>
    <xf numFmtId="49" fontId="8" fillId="0" borderId="9" xfId="0" applyNumberFormat="1" applyFont="1" applyBorder="1" applyAlignment="1">
      <alignment horizontal="left" vertical="center"/>
    </xf>
    <xf numFmtId="49" fontId="8" fillId="0" borderId="9" xfId="0" applyNumberFormat="1" applyFont="1" applyBorder="1" applyAlignment="1">
      <alignment horizontal="right" vertical="center"/>
    </xf>
    <xf numFmtId="49" fontId="9" fillId="0" borderId="6" xfId="0" applyNumberFormat="1" applyFont="1" applyBorder="1" applyAlignment="1">
      <alignment horizontal="left" vertical="center"/>
    </xf>
    <xf numFmtId="49" fontId="9" fillId="2" borderId="6" xfId="0" applyNumberFormat="1" applyFont="1" applyFill="1" applyBorder="1" applyAlignment="1">
      <alignment horizontal="right" vertical="center"/>
    </xf>
    <xf numFmtId="0" fontId="3" fillId="0" borderId="6" xfId="0" applyFont="1" applyBorder="1" applyAlignment="1"/>
    <xf numFmtId="49" fontId="6" fillId="2" borderId="9" xfId="0" applyNumberFormat="1" applyFont="1" applyFill="1" applyBorder="1" applyAlignment="1" applyProtection="1">
      <alignment horizontal="left" vertical="center"/>
      <protection locked="0"/>
    </xf>
    <xf numFmtId="0" fontId="6" fillId="2" borderId="9" xfId="0" applyNumberFormat="1" applyFont="1" applyFill="1" applyBorder="1" applyAlignment="1" applyProtection="1">
      <alignment horizontal="right" vertical="top"/>
      <protection locked="0"/>
    </xf>
    <xf numFmtId="49" fontId="27" fillId="4" borderId="11" xfId="0" applyNumberFormat="1" applyFont="1" applyFill="1" applyBorder="1" applyAlignment="1">
      <alignment horizontal="center" vertical="center"/>
    </xf>
    <xf numFmtId="49" fontId="27" fillId="4" borderId="27" xfId="0" applyNumberFormat="1" applyFont="1" applyFill="1" applyBorder="1" applyAlignment="1">
      <alignment horizontal="center" vertical="center"/>
    </xf>
    <xf numFmtId="49" fontId="27" fillId="4" borderId="28" xfId="0" applyNumberFormat="1" applyFont="1" applyFill="1" applyBorder="1" applyAlignment="1">
      <alignment horizontal="center" vertical="center"/>
    </xf>
    <xf numFmtId="49" fontId="27" fillId="4" borderId="29" xfId="0" applyNumberFormat="1" applyFont="1" applyFill="1" applyBorder="1" applyAlignment="1">
      <alignment horizontal="center" vertical="center"/>
    </xf>
  </cellXfs>
  <cellStyles count="1">
    <cellStyle name="Normal" xfId="0" builtinId="0"/>
  </cellStyles>
  <dxfs count="31">
    <dxf>
      <font>
        <color rgb="FF929292"/>
      </font>
    </dxf>
    <dxf>
      <font>
        <color rgb="FFE32400"/>
      </font>
    </dxf>
    <dxf>
      <font>
        <color rgb="FF929292"/>
      </font>
    </dxf>
    <dxf>
      <font>
        <color rgb="FFE32400"/>
      </font>
    </dxf>
    <dxf>
      <font>
        <color rgb="FFE32400"/>
      </font>
    </dxf>
    <dxf>
      <font>
        <color rgb="FF000000"/>
      </font>
      <fill>
        <patternFill patternType="solid">
          <fgColor indexed="17"/>
          <bgColor indexed="18"/>
        </patternFill>
      </fill>
    </dxf>
    <dxf>
      <font>
        <color rgb="FF000000"/>
      </font>
      <fill>
        <patternFill patternType="solid">
          <fgColor indexed="17"/>
          <bgColor indexed="11"/>
        </patternFill>
      </fill>
    </dxf>
    <dxf>
      <fill>
        <patternFill>
          <bgColor rgb="FFFFD38A"/>
        </patternFill>
      </fill>
    </dxf>
    <dxf>
      <fill>
        <patternFill>
          <bgColor theme="7" tint="0.79998168889431442"/>
        </patternFill>
      </fill>
    </dxf>
    <dxf>
      <fill>
        <patternFill>
          <bgColor rgb="FFFF9781"/>
        </patternFill>
      </fill>
    </dxf>
    <dxf>
      <font>
        <color rgb="FF932092"/>
      </font>
      <fill>
        <patternFill patternType="solid">
          <fgColor indexed="17"/>
          <bgColor indexed="35"/>
        </patternFill>
      </fill>
    </dxf>
    <dxf>
      <font>
        <color rgb="FF932092"/>
      </font>
      <fill>
        <patternFill patternType="solid">
          <fgColor indexed="17"/>
          <bgColor indexed="23"/>
        </patternFill>
      </fill>
    </dxf>
    <dxf>
      <font>
        <color rgb="FF000000"/>
      </font>
      <fill>
        <patternFill patternType="solid">
          <fgColor indexed="17"/>
          <bgColor indexed="18"/>
        </patternFill>
      </fill>
    </dxf>
    <dxf>
      <font>
        <color rgb="FF000000"/>
      </font>
      <fill>
        <patternFill patternType="solid">
          <fgColor indexed="17"/>
          <bgColor indexed="19"/>
        </patternFill>
      </fill>
    </dxf>
    <dxf>
      <font>
        <color rgb="FF000000"/>
      </font>
      <fill>
        <patternFill patternType="solid">
          <fgColor indexed="17"/>
          <bgColor indexed="20"/>
        </patternFill>
      </fill>
    </dxf>
    <dxf>
      <font>
        <color rgb="FFD2D2D2"/>
      </font>
    </dxf>
    <dxf>
      <font>
        <color rgb="FF929292"/>
      </font>
    </dxf>
    <dxf>
      <font>
        <color rgb="FF000000"/>
      </font>
      <fill>
        <patternFill patternType="solid">
          <fgColor indexed="17"/>
          <bgColor indexed="19"/>
        </patternFill>
      </fill>
    </dxf>
    <dxf>
      <font>
        <color rgb="FF000000"/>
      </font>
      <fill>
        <patternFill patternType="solid">
          <fgColor indexed="17"/>
          <bgColor indexed="18"/>
        </patternFill>
      </fill>
    </dxf>
    <dxf>
      <font>
        <color rgb="FF000000"/>
      </font>
      <fill>
        <patternFill patternType="solid">
          <fgColor indexed="17"/>
          <bgColor indexed="19"/>
        </patternFill>
      </fill>
    </dxf>
    <dxf>
      <font>
        <color rgb="FF000000"/>
      </font>
      <fill>
        <patternFill patternType="solid">
          <fgColor indexed="17"/>
          <bgColor indexed="23"/>
        </patternFill>
      </fill>
    </dxf>
    <dxf>
      <font>
        <color rgb="FF000000"/>
      </font>
      <fill>
        <patternFill patternType="solid">
          <fgColor indexed="17"/>
          <bgColor indexed="23"/>
        </patternFill>
      </fill>
    </dxf>
    <dxf>
      <font>
        <color rgb="FF000000"/>
      </font>
      <fill>
        <patternFill patternType="solid">
          <fgColor indexed="17"/>
          <bgColor rgb="FFD3E2FF"/>
        </patternFill>
      </fill>
    </dxf>
    <dxf>
      <fill>
        <patternFill>
          <bgColor rgb="FFFF9781"/>
        </patternFill>
      </fill>
    </dxf>
    <dxf>
      <font>
        <color rgb="FF0432FF"/>
      </font>
      <fill>
        <patternFill patternType="solid">
          <fgColor indexed="17"/>
          <bgColor rgb="FFD3E2FF"/>
        </patternFill>
      </fill>
    </dxf>
    <dxf>
      <font>
        <color rgb="FF3333FF"/>
      </font>
    </dxf>
    <dxf>
      <font>
        <color rgb="FF000000"/>
      </font>
      <fill>
        <patternFill patternType="solid">
          <fgColor indexed="17"/>
          <bgColor indexed="20"/>
        </patternFill>
      </fill>
    </dxf>
    <dxf>
      <font>
        <color rgb="FF000000"/>
      </font>
      <fill>
        <patternFill patternType="solid">
          <fgColor indexed="17"/>
          <bgColor indexed="19"/>
        </patternFill>
      </fill>
    </dxf>
    <dxf>
      <font>
        <color rgb="FF929292"/>
      </font>
    </dxf>
    <dxf>
      <font>
        <color rgb="FF000000"/>
      </font>
      <fill>
        <patternFill patternType="solid">
          <fgColor indexed="17"/>
          <bgColor indexed="18"/>
        </patternFill>
      </fill>
    </dxf>
    <dxf>
      <font>
        <color rgb="FF929292"/>
      </font>
    </dxf>
  </dxfs>
  <tableStyles count="0"/>
  <colors>
    <indexedColors>
      <rgbColor rgb="FF000000"/>
      <rgbColor rgb="FFFFFFFF"/>
      <rgbColor rgb="FFFF0000"/>
      <rgbColor rgb="FF00FF00"/>
      <rgbColor rgb="FF0000FF"/>
      <rgbColor rgb="FFFFFF00"/>
      <rgbColor rgb="FFFF00FF"/>
      <rgbColor rgb="FF00FFFF"/>
      <rgbColor rgb="FF000000"/>
      <rgbColor rgb="FF0432FF"/>
      <rgbColor rgb="FFD3D3D3"/>
      <rgbColor rgb="FFFFFFFF"/>
      <rgbColor rgb="FFAAAAAA"/>
      <rgbColor rgb="FFBDC0BF"/>
      <rgbColor rgb="FFBFBFBF"/>
      <rgbColor rgb="FF0432FF"/>
      <rgbColor rgb="FF929292"/>
      <rgbColor rgb="00000000"/>
      <rgbColor rgb="FFFFD38A"/>
      <rgbColor rgb="E5FFD38A"/>
      <rgbColor rgb="E5FF9781"/>
      <rgbColor rgb="E5929292"/>
      <rgbColor rgb="250432FF"/>
      <rgbColor rgb="FFD3E2FF"/>
      <rgbColor rgb="FF525252"/>
      <rgbColor rgb="FFDDDDDD"/>
      <rgbColor rgb="FFFF9781"/>
      <rgbColor rgb="4CFFD381"/>
      <rgbColor rgb="FF932092"/>
      <rgbColor rgb="FFD2D2D2"/>
      <rgbColor rgb="FFFF0000"/>
      <rgbColor rgb="FFFF2600"/>
      <rgbColor rgb="FFFF4015"/>
      <rgbColor rgb="FF7F7F7F"/>
      <rgbColor rgb="FF932092"/>
      <rgbColor rgb="E5FFD392"/>
      <rgbColor rgb="FFD4D4D4"/>
      <rgbColor rgb="FFE32400"/>
      <rgbColor rgb="FF942092"/>
      <rgbColor rgb="FFD6D6D6"/>
      <rgbColor rgb="FF3F3F3F"/>
      <rgbColor rgb="FFA5A5A5"/>
      <rgbColor rgb="FF525252"/>
      <rgbColor rgb="FFBDC0BF"/>
      <rgbColor rgb="FFA7A7A7"/>
      <rgbColor rgb="FFC00000"/>
      <rgbColor rgb="FF002EFF"/>
      <rgbColor rgb="FF0230FF"/>
      <rgbColor rgb="FF848484"/>
      <rgbColor rgb="FFFFD478"/>
      <rgbColor rgb="B1FF9300"/>
      <rgbColor rgb="FF0096FF"/>
      <rgbColor rgb="FF1F2021"/>
      <rgbColor rgb="FFFF0100"/>
      <rgbColor rgb="00666699"/>
      <rgbColor rgb="00969696"/>
      <rgbColor rgb="00003366"/>
      <rgbColor rgb="00339966"/>
      <rgbColor rgb="00003300"/>
      <rgbColor rgb="00333300"/>
      <rgbColor rgb="00993300"/>
      <rgbColor rgb="00993366"/>
      <rgbColor rgb="00333399"/>
      <rgbColor rgb="00333333"/>
    </indexedColors>
    <mruColors>
      <color rgb="FFFF9781"/>
      <color rgb="FFFFD38A"/>
      <color rgb="FF3333FF"/>
      <color rgb="FFD3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70131</xdr:colOff>
      <xdr:row>8</xdr:row>
      <xdr:rowOff>949</xdr:rowOff>
    </xdr:to>
    <xdr:sp macro="" textlink="">
      <xdr:nvSpPr>
        <xdr:cNvPr id="2" name="Rectangle">
          <a:extLst>
            <a:ext uri="{FF2B5EF4-FFF2-40B4-BE49-F238E27FC236}">
              <a16:creationId xmlns:a16="http://schemas.microsoft.com/office/drawing/2014/main" id="{00000000-0008-0000-0000-000002000000}"/>
            </a:ext>
          </a:extLst>
        </xdr:cNvPr>
        <xdr:cNvSpPr/>
      </xdr:nvSpPr>
      <xdr:spPr>
        <a:xfrm>
          <a:off x="-80978" y="189316"/>
          <a:ext cx="3905533" cy="1652499"/>
        </a:xfrm>
        <a:prstGeom prst="rect">
          <a:avLst/>
        </a:prstGeom>
        <a:noFill/>
        <a:ln w="12700" cap="flat">
          <a:noFill/>
          <a:miter lim="400000"/>
        </a:ln>
        <a:effectLst/>
      </xdr:spPr>
      <xdr:txBody>
        <a:bodyPr/>
        <a:lstStyle/>
        <a:p>
          <a:endParaRPr/>
        </a:p>
      </xdr:txBody>
    </xdr:sp>
    <xdr:clientData/>
  </xdr:twoCellAnchor>
  <xdr:twoCellAnchor>
    <xdr:from>
      <xdr:col>0</xdr:col>
      <xdr:colOff>0</xdr:colOff>
      <xdr:row>8</xdr:row>
      <xdr:rowOff>17508</xdr:rowOff>
    </xdr:from>
    <xdr:to>
      <xdr:col>4</xdr:col>
      <xdr:colOff>239652</xdr:colOff>
      <xdr:row>53</xdr:row>
      <xdr:rowOff>58521</xdr:rowOff>
    </xdr:to>
    <xdr:sp macro="" textlink="">
      <xdr:nvSpPr>
        <xdr:cNvPr id="3" name="Rectangle">
          <a:extLst>
            <a:ext uri="{FF2B5EF4-FFF2-40B4-BE49-F238E27FC236}">
              <a16:creationId xmlns:a16="http://schemas.microsoft.com/office/drawing/2014/main" id="{00000000-0008-0000-0000-000003000000}"/>
            </a:ext>
          </a:extLst>
        </xdr:cNvPr>
        <xdr:cNvSpPr/>
      </xdr:nvSpPr>
      <xdr:spPr>
        <a:xfrm>
          <a:off x="-80978" y="1858373"/>
          <a:ext cx="6018154" cy="2760084"/>
        </a:xfrm>
        <a:prstGeom prst="rect">
          <a:avLst/>
        </a:prstGeom>
        <a:noFill/>
        <a:ln w="12700" cap="flat">
          <a:noFill/>
          <a:miter lim="400000"/>
        </a:ln>
        <a:effectLst/>
      </xdr:spPr>
      <xdr:txBody>
        <a:bodyPr/>
        <a:lstStyle/>
        <a:p>
          <a:endParaRPr/>
        </a:p>
      </xdr:txBody>
    </xdr:sp>
    <xdr:clientData/>
  </xdr:twoCellAnchor>
  <xdr:twoCellAnchor>
    <xdr:from>
      <xdr:col>0</xdr:col>
      <xdr:colOff>0</xdr:colOff>
      <xdr:row>0</xdr:row>
      <xdr:rowOff>0</xdr:rowOff>
    </xdr:from>
    <xdr:to>
      <xdr:col>1</xdr:col>
      <xdr:colOff>83653</xdr:colOff>
      <xdr:row>8</xdr:row>
      <xdr:rowOff>72050</xdr:rowOff>
    </xdr:to>
    <xdr:sp macro="" textlink="">
      <xdr:nvSpPr>
        <xdr:cNvPr id="4" name="Rectangle">
          <a:extLst>
            <a:ext uri="{FF2B5EF4-FFF2-40B4-BE49-F238E27FC236}">
              <a16:creationId xmlns:a16="http://schemas.microsoft.com/office/drawing/2014/main" id="{00000000-0008-0000-0000-000004000000}"/>
            </a:ext>
          </a:extLst>
        </xdr:cNvPr>
        <xdr:cNvSpPr/>
      </xdr:nvSpPr>
      <xdr:spPr>
        <a:xfrm>
          <a:off x="-94500" y="196764"/>
          <a:ext cx="3919055" cy="1716152"/>
        </a:xfrm>
        <a:prstGeom prst="rect">
          <a:avLst/>
        </a:prstGeom>
        <a:noFill/>
        <a:ln w="12700" cap="flat">
          <a:noFill/>
          <a:miter lim="400000"/>
        </a:ln>
        <a:effectLst/>
      </xdr:spPr>
      <xdr:txBody>
        <a:bodyPr/>
        <a:lstStyle/>
        <a:p>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20</xdr:row>
      <xdr:rowOff>3809</xdr:rowOff>
    </xdr:from>
    <xdr:to>
      <xdr:col>0</xdr:col>
      <xdr:colOff>3436010</xdr:colOff>
      <xdr:row>28</xdr:row>
      <xdr:rowOff>29021</xdr:rowOff>
    </xdr:to>
    <xdr:sp macro="" textlink="">
      <xdr:nvSpPr>
        <xdr:cNvPr id="6" name="Rectangle">
          <a:extLst>
            <a:ext uri="{FF2B5EF4-FFF2-40B4-BE49-F238E27FC236}">
              <a16:creationId xmlns:a16="http://schemas.microsoft.com/office/drawing/2014/main" id="{00000000-0008-0000-0200-000006000000}"/>
            </a:ext>
          </a:extLst>
        </xdr:cNvPr>
        <xdr:cNvSpPr/>
      </xdr:nvSpPr>
      <xdr:spPr>
        <a:xfrm>
          <a:off x="299052" y="4151629"/>
          <a:ext cx="3619559" cy="1697168"/>
        </a:xfrm>
        <a:prstGeom prst="rect">
          <a:avLst/>
        </a:prstGeom>
        <a:noFill/>
        <a:ln w="12700" cap="flat">
          <a:noFill/>
          <a:miter lim="400000"/>
        </a:ln>
        <a:effectLst/>
      </xdr:spPr>
      <xdr:txBody>
        <a:bodyPr/>
        <a:lstStyle/>
        <a:p>
          <a:endParaRPr/>
        </a:p>
      </xdr:txBody>
    </xdr:sp>
    <xdr:clientData/>
  </xdr:twoCellAnchor>
  <xdr:twoCellAnchor>
    <xdr:from>
      <xdr:col>0</xdr:col>
      <xdr:colOff>0</xdr:colOff>
      <xdr:row>27</xdr:row>
      <xdr:rowOff>87877</xdr:rowOff>
    </xdr:from>
    <xdr:to>
      <xdr:col>6</xdr:col>
      <xdr:colOff>237682</xdr:colOff>
      <xdr:row>35</xdr:row>
      <xdr:rowOff>121702</xdr:rowOff>
    </xdr:to>
    <xdr:sp macro="" textlink="">
      <xdr:nvSpPr>
        <xdr:cNvPr id="11" name="Rectangle">
          <a:extLst>
            <a:ext uri="{FF2B5EF4-FFF2-40B4-BE49-F238E27FC236}">
              <a16:creationId xmlns:a16="http://schemas.microsoft.com/office/drawing/2014/main" id="{00000000-0008-0000-0200-00000B000000}"/>
            </a:ext>
          </a:extLst>
        </xdr:cNvPr>
        <xdr:cNvSpPr/>
      </xdr:nvSpPr>
      <xdr:spPr>
        <a:xfrm>
          <a:off x="317074" y="5700007"/>
          <a:ext cx="7540609" cy="1482896"/>
        </a:xfrm>
        <a:prstGeom prst="rect">
          <a:avLst/>
        </a:prstGeom>
        <a:noFill/>
        <a:ln w="12700" cap="flat">
          <a:noFill/>
          <a:miter lim="400000"/>
        </a:ln>
        <a:effectLst/>
      </xdr:spPr>
      <xdr:txBody>
        <a:bodyPr/>
        <a:lstStyle/>
        <a:p>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40</xdr:row>
      <xdr:rowOff>144894</xdr:rowOff>
    </xdr:from>
    <xdr:to>
      <xdr:col>10</xdr:col>
      <xdr:colOff>47425</xdr:colOff>
      <xdr:row>41</xdr:row>
      <xdr:rowOff>2628046</xdr:rowOff>
    </xdr:to>
    <xdr:sp macro="" textlink="">
      <xdr:nvSpPr>
        <xdr:cNvPr id="13" name="Shape 3">
          <a:extLst>
            <a:ext uri="{FF2B5EF4-FFF2-40B4-BE49-F238E27FC236}">
              <a16:creationId xmlns:a16="http://schemas.microsoft.com/office/drawing/2014/main" id="{00000000-0008-0000-0300-00000D000000}"/>
            </a:ext>
          </a:extLst>
        </xdr:cNvPr>
        <xdr:cNvSpPr txBox="1"/>
      </xdr:nvSpPr>
      <xdr:spPr>
        <a:xfrm>
          <a:off x="-8793" y="8250669"/>
          <a:ext cx="4632126" cy="2726358"/>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Student’s </a:t>
          </a:r>
          <a:r>
            <a:rPr sz="1000" b="0" i="1" u="none" strike="noStrike" cap="none" spc="0" baseline="0">
              <a:solidFill>
                <a:srgbClr val="000000"/>
              </a:solidFill>
              <a:uFillTx/>
              <a:latin typeface="Arial"/>
              <a:ea typeface="Arial"/>
              <a:cs typeface="Arial"/>
              <a:sym typeface="Arial"/>
            </a:rPr>
            <a:t>t</a:t>
          </a:r>
          <a:r>
            <a:rPr sz="1000" b="0" i="0" u="none" strike="noStrike" cap="none" spc="0" baseline="0">
              <a:solidFill>
                <a:srgbClr val="000000"/>
              </a:solidFill>
              <a:uFillTx/>
              <a:latin typeface="Arial"/>
              <a:ea typeface="Arial"/>
              <a:cs typeface="Arial"/>
              <a:sym typeface="Arial"/>
            </a:rPr>
            <a:t>-distributions have ν degrees of freedom for regions.</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See www.itl.nist.gov/div898/handbook/, 2012.</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endParaRPr sz="1000" b="0" i="0" u="none" strike="noStrike" cap="none" spc="0" baseline="0">
            <a:solidFill>
              <a:srgbClr val="000000"/>
            </a:solidFill>
            <a:uFillTx/>
            <a:latin typeface="Arial"/>
            <a:ea typeface="Arial"/>
            <a:cs typeface="Arial"/>
            <a:sym typeface="Arial"/>
          </a:endParaRP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Horwitz Ratio - Ref: RSC, M Thompson AMC Technical Brief No.17 July 2004</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https://www.rsc.org/images/horwitz-function-technical-brief-17_tcm18-214859.pdf</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endParaRPr sz="1000" b="0" i="0" u="none" strike="noStrike" cap="none" spc="0" baseline="0">
            <a:solidFill>
              <a:srgbClr val="000000"/>
            </a:solidFill>
            <a:uFillTx/>
            <a:latin typeface="Arial"/>
            <a:ea typeface="Arial"/>
            <a:cs typeface="Arial"/>
            <a:sym typeface="Arial"/>
          </a:endParaRP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Grubbs’ statistic values are at the 0.05 (95%) level. Here for &lt;9 results 1-tail is recommended. If there are more results, a 2-tail may be preferable (one outlier in each tail). To remove a result, add text (e.g. 123.4?). Removing 2 results from data sets of &lt;7 is not recommended.  The method is suspect if outliers are in the same tail. </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endParaRPr sz="1000" b="0" i="0" u="none" strike="noStrike" cap="none" spc="0" baseline="0">
            <a:solidFill>
              <a:srgbClr val="000000"/>
            </a:solidFill>
            <a:uFillTx/>
            <a:latin typeface="Arial"/>
            <a:ea typeface="Arial"/>
            <a:cs typeface="Arial"/>
            <a:sym typeface="Arial"/>
          </a:endParaRP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Ref: RSC - Analytical Methods Committee, AMCTB No. 69</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https://pubs.rsc.org/en/content/articlehtml/2015/ay/c5ay90053k    and</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Frank E. Grubbs and Glenn Beck, "Extension of Sample Sizes and Percentage Points for Significance Tests of Outlying Observations", Technometrics, 14(4), 847-854 (1972).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116329</xdr:rowOff>
    </xdr:from>
    <xdr:to>
      <xdr:col>2</xdr:col>
      <xdr:colOff>76200</xdr:colOff>
      <xdr:row>19</xdr:row>
      <xdr:rowOff>149506</xdr:rowOff>
    </xdr:to>
    <xdr:sp macro="" textlink="">
      <xdr:nvSpPr>
        <xdr:cNvPr id="15" name="Shape 4">
          <a:extLst>
            <a:ext uri="{FF2B5EF4-FFF2-40B4-BE49-F238E27FC236}">
              <a16:creationId xmlns:a16="http://schemas.microsoft.com/office/drawing/2014/main" id="{00000000-0008-0000-0400-00000F000000}"/>
            </a:ext>
          </a:extLst>
        </xdr:cNvPr>
        <xdr:cNvSpPr txBox="1"/>
      </xdr:nvSpPr>
      <xdr:spPr>
        <a:xfrm>
          <a:off x="-38589" y="2745229"/>
          <a:ext cx="3086101" cy="976153"/>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699" tIns="45699" rIns="45699" bIns="45699" numCol="1" anchor="t">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Arial"/>
              <a:ea typeface="Arial"/>
              <a:cs typeface="Arial"/>
              <a:sym typeface="Arial"/>
            </a:defRPr>
          </a:pPr>
          <a:r>
            <a:rPr sz="1100" b="0" i="0" u="none" strike="noStrike" cap="none" spc="0" baseline="0">
              <a:solidFill>
                <a:srgbClr val="000000"/>
              </a:solidFill>
              <a:uFillTx/>
              <a:latin typeface="Arial"/>
              <a:ea typeface="Arial"/>
              <a:cs typeface="Arial"/>
              <a:sym typeface="Arial"/>
            </a:rPr>
            <a:t>If a Unit is added, changed, or deleted - Check that changes to the Unit are in the [MainTable] Select </a:t>
          </a:r>
          <a:r>
            <a:rPr sz="1100" b="1" i="0" u="none" strike="noStrike" cap="none" spc="0" baseline="0">
              <a:solidFill>
                <a:srgbClr val="0433FF"/>
              </a:solidFill>
              <a:uFillTx/>
              <a:latin typeface="Arial"/>
              <a:ea typeface="Arial"/>
              <a:cs typeface="Arial"/>
              <a:sym typeface="Arial"/>
            </a:rPr>
            <a:t>Units</a:t>
          </a:r>
          <a:r>
            <a:rPr sz="1100" b="0" i="0" u="none" strike="noStrike" cap="none" spc="0" baseline="0">
              <a:solidFill>
                <a:srgbClr val="000000"/>
              </a:solidFill>
              <a:uFillTx/>
              <a:latin typeface="Arial"/>
              <a:ea typeface="Arial"/>
              <a:cs typeface="Arial"/>
              <a:sym typeface="Arial"/>
            </a:rPr>
            <a:t> from List </a:t>
          </a:r>
          <a:r>
            <a:rPr sz="1100" b="0" i="0" u="none" strike="noStrike" cap="none" spc="0" baseline="0">
              <a:solidFill>
                <a:srgbClr val="0433FF"/>
              </a:solidFill>
              <a:uFillTx/>
              <a:latin typeface="Arial"/>
              <a:ea typeface="Arial"/>
              <a:cs typeface="Arial"/>
              <a:sym typeface="Arial"/>
            </a:rPr>
            <a:t> </a:t>
          </a:r>
          <a:r>
            <a:rPr sz="1100" b="0" i="0" u="none" strike="noStrike" cap="none" spc="0" baseline="0">
              <a:solidFill>
                <a:srgbClr val="000000"/>
              </a:solidFill>
              <a:uFillTx/>
              <a:latin typeface="Arial"/>
              <a:ea typeface="Arial"/>
              <a:cs typeface="Arial"/>
              <a:sym typeface="Arial"/>
            </a:rPr>
            <a:t>Pop-Up Menu. If there is a mismatch Error Warnings will be displayed…</a:t>
          </a:r>
        </a:p>
      </xdr:txBody>
    </xdr:sp>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showGridLines="0" workbookViewId="0">
      <pane xSplit="4" topLeftCell="E1" activePane="topRight" state="frozen"/>
      <selection pane="topRight" activeCell="B4" sqref="B4"/>
    </sheetView>
  </sheetViews>
  <sheetFormatPr defaultColWidth="0" defaultRowHeight="15.2" customHeight="1" zeroHeight="1"/>
  <cols>
    <col min="1" max="1" width="50.375" style="1" customWidth="1"/>
    <col min="2" max="2" width="25.5" style="1" customWidth="1"/>
    <col min="3" max="4" width="8.875" style="1" hidden="1" customWidth="1"/>
    <col min="5" max="5" width="0.5" style="1" customWidth="1"/>
    <col min="6" max="16384" width="8.875" style="1" hidden="1"/>
  </cols>
  <sheetData>
    <row r="1" spans="1:4" ht="15.75" customHeight="1">
      <c r="A1" s="171" t="s">
        <v>0</v>
      </c>
      <c r="B1" s="108" t="s">
        <v>1</v>
      </c>
      <c r="C1" s="2"/>
      <c r="D1" s="172"/>
    </row>
    <row r="2" spans="1:4" ht="15" customHeight="1">
      <c r="A2" s="173" t="s">
        <v>2</v>
      </c>
      <c r="B2" s="109" t="s">
        <v>3</v>
      </c>
      <c r="C2" s="174"/>
      <c r="D2" s="172"/>
    </row>
    <row r="3" spans="1:4" ht="15" customHeight="1">
      <c r="A3" s="171" t="s">
        <v>4</v>
      </c>
      <c r="B3" s="110" t="s">
        <v>5</v>
      </c>
      <c r="C3" s="175"/>
      <c r="D3" s="176"/>
    </row>
    <row r="4" spans="1:4" ht="15" customHeight="1">
      <c r="A4" s="177" t="s">
        <v>6</v>
      </c>
      <c r="B4" s="111" t="s">
        <v>7</v>
      </c>
      <c r="C4" s="175"/>
      <c r="D4" s="176"/>
    </row>
    <row r="5" spans="1:4" ht="14.65" customHeight="1">
      <c r="A5" s="3" t="s">
        <v>8</v>
      </c>
      <c r="B5" s="112">
        <v>90</v>
      </c>
      <c r="C5" s="175"/>
      <c r="D5" s="176"/>
    </row>
    <row r="6" spans="1:4" ht="14.25" customHeight="1">
      <c r="A6" s="4" t="s">
        <v>9</v>
      </c>
      <c r="B6" s="113"/>
      <c r="C6" s="175"/>
      <c r="D6" s="176"/>
    </row>
    <row r="7" spans="1:4" ht="14.25" customHeight="1">
      <c r="A7" s="171" t="s">
        <v>10</v>
      </c>
      <c r="B7" s="114">
        <v>2</v>
      </c>
      <c r="C7" s="175"/>
      <c r="D7" s="176"/>
    </row>
    <row r="8" spans="1:4" ht="15.75" customHeight="1">
      <c r="A8" s="173" t="str">
        <f>IF(B8=2,IF(B24&lt;9,"Number of Samples = "&amp;B24&amp;" Try Selecting 1-tail test","Select One or Two tail Grubbs’ Test (α: 0.05) :"),"Select One or Two tail Grubbs’ Test (α: 0.05) :")</f>
        <v>Select One or Two tail Grubbs’ Test (α: 0.05) :</v>
      </c>
      <c r="B8" s="115">
        <v>1</v>
      </c>
      <c r="C8" s="175"/>
      <c r="D8" s="176"/>
    </row>
    <row r="9" spans="1:4" ht="14.25" customHeight="1">
      <c r="A9" s="178" t="s">
        <v>11</v>
      </c>
      <c r="B9" s="179" t="str">
        <f>IF(B38&gt;0,B24+B38&amp;" ("&amp;B38&amp;"  Excluded)",B24)</f>
        <v>9 (1  Excluded)</v>
      </c>
      <c r="C9" s="175"/>
      <c r="D9" s="176"/>
    </row>
    <row r="10" spans="1:4" ht="14.25" customHeight="1">
      <c r="A10" s="180" t="s">
        <v>12</v>
      </c>
      <c r="B10" s="181" t="str">
        <f>FIXED(B26,B27)</f>
        <v>6.377</v>
      </c>
      <c r="C10" s="175"/>
      <c r="D10" s="176"/>
    </row>
    <row r="11" spans="1:4" ht="14.25" customHeight="1">
      <c r="A11" s="180" t="s">
        <v>13</v>
      </c>
      <c r="B11" s="182">
        <f>B28</f>
        <v>7.667658640694984E-2</v>
      </c>
      <c r="C11" s="175"/>
      <c r="D11" s="176"/>
    </row>
    <row r="12" spans="1:4" ht="14.25" customHeight="1">
      <c r="A12" s="180" t="s">
        <v>14</v>
      </c>
      <c r="B12" s="182">
        <f>IFERROR(IF(B3="Blank",0,(1-B22)),0)</f>
        <v>7.5916666666666743E-2</v>
      </c>
      <c r="C12" s="175"/>
      <c r="D12" s="176"/>
    </row>
    <row r="13" spans="1:4" ht="14.25" customHeight="1">
      <c r="A13" s="183" t="s">
        <v>15</v>
      </c>
      <c r="B13" s="184">
        <f>VLOOKUP(B24-1,Distributions!A2:B42,2,TRUE)</f>
        <v>2.9980000000000002</v>
      </c>
      <c r="C13" s="175"/>
      <c r="D13" s="176"/>
    </row>
    <row r="14" spans="1:4" ht="14.25" customHeight="1">
      <c r="A14" s="178" t="s">
        <v>16</v>
      </c>
      <c r="B14" s="185">
        <f>VLOOKUP(B4,Units!$A1:$B14,2,FALSE)</f>
        <v>1000000000</v>
      </c>
      <c r="C14" s="175"/>
      <c r="D14" s="176"/>
    </row>
    <row r="15" spans="1:4" ht="14.25" customHeight="1">
      <c r="A15" s="180" t="s">
        <v>17</v>
      </c>
      <c r="B15" s="186">
        <f>IF(B5/B14&lt;1.2*0.0000001,22,IF(B5/B14&lt;=0.138,2*POWER(B5/B14,-0.15),POWER(B5/B14,-0.5)))</f>
        <v>22</v>
      </c>
      <c r="C15" s="175"/>
      <c r="D15" s="176"/>
    </row>
    <row r="16" spans="1:4" ht="14.25" customHeight="1">
      <c r="A16" s="183" t="s">
        <v>18</v>
      </c>
      <c r="B16" s="5">
        <f>((B11*100)/B15)</f>
        <v>0.34852993821340833</v>
      </c>
      <c r="C16" s="175"/>
      <c r="D16" s="176"/>
    </row>
    <row r="17" spans="1:4" ht="14.25" customHeight="1">
      <c r="A17" s="187" t="str">
        <f>IF(B17=B36,"Ymax (Maximum Value) may be a Grubbs' Outlier","Ymax (Maximum Value)")</f>
        <v>Ymax (Maximum Value)</v>
      </c>
      <c r="B17" s="179">
        <f>MAX(SampleResults!B1:B31)</f>
        <v>89.84</v>
      </c>
      <c r="C17" s="175"/>
      <c r="D17" s="176"/>
    </row>
    <row r="18" spans="1:4" ht="14.25" customHeight="1">
      <c r="A18" s="188" t="str">
        <f>IF(B18=B36,"Ymin (Minimum Value) may be a Grubbs' Outlier","Ymin  (Minimum Value)")</f>
        <v>Ymin  (Minimum Value)</v>
      </c>
      <c r="B18" s="184">
        <f>MIN(SampleResults!B1:B31)</f>
        <v>72.11</v>
      </c>
      <c r="C18" s="175"/>
      <c r="D18" s="176"/>
    </row>
    <row r="19" spans="1:4" ht="14.25" customHeight="1">
      <c r="A19" s="189" t="str">
        <f>"Result to "&amp;B7&amp;" Significant figures"</f>
        <v>Result to 2 Significant figures</v>
      </c>
      <c r="B19" s="190" t="str">
        <f>FIXED(B25,((-1*INT(LOG10(B25)))-1)+B7,TRUE)</f>
        <v>83</v>
      </c>
      <c r="C19" s="175"/>
      <c r="D19" s="176"/>
    </row>
    <row r="20" spans="1:4" ht="14.25" customHeight="1">
      <c r="A20" s="191" t="s">
        <v>19</v>
      </c>
      <c r="B20" s="192" t="str">
        <f>IFERROR(IF(B3="Blank",0,B51),0)</f>
        <v>21</v>
      </c>
      <c r="C20" s="175"/>
      <c r="D20" s="176"/>
    </row>
    <row r="21" spans="1:4" ht="14.25" customHeight="1">
      <c r="A21" s="191" t="s">
        <v>20</v>
      </c>
      <c r="B21" s="192" t="str">
        <f>IFERROR(IF(B3="Blank",0,B45),0)</f>
        <v>62</v>
      </c>
      <c r="C21" s="175"/>
      <c r="D21" s="176"/>
    </row>
    <row r="22" spans="1:4" ht="14.25" customHeight="1">
      <c r="A22" s="6" t="s">
        <v>21</v>
      </c>
      <c r="B22" s="7">
        <f>IFERROR(IF(B3="Blank","Blank",(B25)/B5),100)</f>
        <v>0.92408333333333326</v>
      </c>
      <c r="C22" s="8"/>
      <c r="D22" s="176"/>
    </row>
    <row r="23" spans="1:4" ht="9" hidden="1" customHeight="1">
      <c r="A23" s="9"/>
      <c r="B23" s="10"/>
      <c r="C23" s="11"/>
      <c r="D23" s="176"/>
    </row>
    <row r="24" spans="1:4" ht="9" hidden="1" customHeight="1">
      <c r="A24" s="12" t="s">
        <v>22</v>
      </c>
      <c r="B24" s="13">
        <f>COUNT(SampleResults!B1:B31)</f>
        <v>8</v>
      </c>
      <c r="C24" s="11"/>
      <c r="D24" s="176"/>
    </row>
    <row r="25" spans="1:4" ht="9" hidden="1" customHeight="1">
      <c r="A25" s="14" t="s">
        <v>23</v>
      </c>
      <c r="B25" s="15">
        <f>IF(B24&gt;0,AVERAGE(SampleResults!B1:B31),0)</f>
        <v>83.16749999999999</v>
      </c>
      <c r="C25" s="11"/>
      <c r="D25" s="176"/>
    </row>
    <row r="26" spans="1:4" ht="9" hidden="1" customHeight="1">
      <c r="A26" s="14" t="s">
        <v>24</v>
      </c>
      <c r="B26" s="16">
        <f>IF(B24&gt;1,STDEV(SampleResults!B1:B31),0)</f>
        <v>6.3774754297561085</v>
      </c>
      <c r="C26" s="11"/>
      <c r="D26" s="176"/>
    </row>
    <row r="27" spans="1:4" ht="9" hidden="1" customHeight="1">
      <c r="A27" s="17" t="s">
        <v>25</v>
      </c>
      <c r="B27" s="18">
        <f>IF(B5&lt;1,INT(ABS(LOG10(B5)))+B7+2,IF(B5&lt;10,4,IF(B5&lt;100,3,IF(B5&lt;1000,2,IF(B5&lt;10000,1,0)))))</f>
        <v>3</v>
      </c>
      <c r="C27" s="11"/>
      <c r="D27" s="176"/>
    </row>
    <row r="28" spans="1:4" ht="9" hidden="1" customHeight="1">
      <c r="A28" s="17" t="s">
        <v>26</v>
      </c>
      <c r="B28" s="18">
        <f>IF(B24&gt;0,B10/B25,0)</f>
        <v>7.667658640694984E-2</v>
      </c>
      <c r="C28" s="11"/>
      <c r="D28" s="176"/>
    </row>
    <row r="29" spans="1:4" ht="9" hidden="1" customHeight="1">
      <c r="A29" s="19"/>
      <c r="B29" s="20"/>
      <c r="C29" s="11"/>
      <c r="D29" s="176"/>
    </row>
    <row r="30" spans="1:4" ht="9" hidden="1" customHeight="1">
      <c r="A30" s="19" t="s">
        <v>27</v>
      </c>
      <c r="B30" s="20">
        <f>B17-B25</f>
        <v>6.6725000000000136</v>
      </c>
      <c r="C30" s="11"/>
      <c r="D30" s="176"/>
    </row>
    <row r="31" spans="1:4" ht="9" hidden="1" customHeight="1">
      <c r="A31" s="14" t="s">
        <v>28</v>
      </c>
      <c r="B31" s="21">
        <f>B25-B18</f>
        <v>11.05749999999999</v>
      </c>
      <c r="C31" s="11"/>
      <c r="D31" s="176"/>
    </row>
    <row r="32" spans="1:4" ht="9" hidden="1" customHeight="1">
      <c r="A32" s="14" t="str">
        <f>IF(B8=1,"Sig Value: 1-sided","Sig Value: 2-sided")</f>
        <v>Sig Value: 1-sided</v>
      </c>
      <c r="B32" s="22">
        <f>IF(B8=1,(2*(1-0.95))/(B24),((1-0.95))/(B24))</f>
        <v>1.2500000000000011E-2</v>
      </c>
      <c r="C32" s="11"/>
      <c r="D32" s="176"/>
    </row>
    <row r="33" spans="1:4" ht="9" hidden="1" customHeight="1">
      <c r="A33" s="14" t="s">
        <v>29</v>
      </c>
      <c r="B33" s="22">
        <f>(B25-B18)/B26</f>
        <v>1.7338365504957904</v>
      </c>
      <c r="C33" s="11"/>
      <c r="D33" s="176"/>
    </row>
    <row r="34" spans="1:4" ht="9" hidden="1" customHeight="1">
      <c r="A34" s="14" t="s">
        <v>30</v>
      </c>
      <c r="B34" s="22">
        <f>(B17-B25)/B26</f>
        <v>1.0462604009209311</v>
      </c>
      <c r="C34" s="11"/>
      <c r="D34" s="176"/>
    </row>
    <row r="35" spans="1:4" ht="9" hidden="1" customHeight="1">
      <c r="A35" s="14" t="s">
        <v>31</v>
      </c>
      <c r="B35" s="23">
        <f>VLOOKUP(B24,Distributions!A5:D42,(2+B8))</f>
        <v>2.032</v>
      </c>
      <c r="C35" s="11"/>
      <c r="D35" s="176"/>
    </row>
    <row r="36" spans="1:4" ht="9" hidden="1" customHeight="1">
      <c r="A36" s="17" t="s">
        <v>32</v>
      </c>
      <c r="B36" s="18">
        <f>IFERROR(IF(B33&lt;B35,IF(B34&lt;B35,0,B17),B18),0)</f>
        <v>0</v>
      </c>
      <c r="C36" s="11"/>
      <c r="D36" s="176"/>
    </row>
    <row r="37" spans="1:4" ht="9" hidden="1" customHeight="1">
      <c r="A37" s="24"/>
      <c r="B37" s="25"/>
      <c r="C37" s="11"/>
      <c r="D37" s="176"/>
    </row>
    <row r="38" spans="1:4" ht="9" hidden="1" customHeight="1">
      <c r="A38" s="14" t="s">
        <v>33</v>
      </c>
      <c r="B38" s="23">
        <f>COUNTIF(SampleResults!B1:B31,"*")</f>
        <v>1</v>
      </c>
      <c r="C38" s="11"/>
      <c r="D38" s="176"/>
    </row>
    <row r="39" spans="1:4" ht="9" hidden="1" customHeight="1">
      <c r="A39" s="14" t="s">
        <v>34</v>
      </c>
      <c r="B39" s="22">
        <f>SQRT(POWER(B26,2)+POWER(B26/SQRT(B24),2))</f>
        <v>6.764334184846704</v>
      </c>
      <c r="C39" s="11"/>
      <c r="D39" s="176"/>
    </row>
    <row r="40" spans="1:4" ht="9" hidden="1" customHeight="1">
      <c r="A40" s="14" t="s">
        <v>35</v>
      </c>
      <c r="B40" s="22">
        <f>IF(ISBLANK(B6),B13*B26,B6)</f>
        <v>19.119671338408814</v>
      </c>
      <c r="C40" s="11"/>
      <c r="D40" s="176"/>
    </row>
    <row r="41" spans="1:4" ht="9" hidden="1" customHeight="1">
      <c r="A41" s="14" t="s">
        <v>36</v>
      </c>
      <c r="B41" s="22">
        <f>B39*2</f>
        <v>13.528668369693408</v>
      </c>
      <c r="C41" s="11"/>
      <c r="D41" s="176"/>
    </row>
    <row r="42" spans="1:4" ht="9" hidden="1" customHeight="1">
      <c r="A42" s="14" t="s">
        <v>37</v>
      </c>
      <c r="B42" s="26">
        <f>B25-B5</f>
        <v>-6.8325000000000102</v>
      </c>
      <c r="C42" s="11"/>
      <c r="D42" s="176"/>
    </row>
    <row r="43" spans="1:4" ht="9" hidden="1" customHeight="1">
      <c r="A43" s="27" t="s">
        <v>38</v>
      </c>
      <c r="B43" s="28">
        <f>IF(ISTEXT(B6),B19,IFERROR(B40/B22,IF(B6&gt;0,B6,B19)))</f>
        <v>20.690418979250229</v>
      </c>
      <c r="C43" s="29"/>
      <c r="D43" s="30"/>
    </row>
    <row r="44" spans="1:4" ht="9" hidden="1" customHeight="1">
      <c r="A44" s="31" t="s">
        <v>39</v>
      </c>
      <c r="B44" s="32">
        <f>B43*3</f>
        <v>62.07125693775069</v>
      </c>
      <c r="C44" s="29"/>
      <c r="D44" s="30"/>
    </row>
    <row r="45" spans="1:4" ht="9" hidden="1" customHeight="1">
      <c r="A45" s="31" t="s">
        <v>40</v>
      </c>
      <c r="B45" s="33" t="str">
        <f>FIXED(B44,((-1*INT(LOG10(B44)))-1)+B7,TRUE)</f>
        <v>62</v>
      </c>
      <c r="C45" s="29"/>
      <c r="D45" s="30"/>
    </row>
    <row r="46" spans="1:4" ht="9" hidden="1" customHeight="1">
      <c r="A46" s="34" t="s">
        <v>41</v>
      </c>
      <c r="B46" s="35" t="str">
        <f>FIXED(B5,((-1*INT(LOG10(B5)))-1)+B7,TRUE)</f>
        <v>90</v>
      </c>
      <c r="C46" s="29"/>
      <c r="D46" s="30"/>
    </row>
    <row r="47" spans="1:4" ht="9" hidden="1" customHeight="1">
      <c r="A47" s="34" t="s">
        <v>42</v>
      </c>
      <c r="B47" s="36"/>
      <c r="C47" s="11"/>
      <c r="D47" s="176"/>
    </row>
    <row r="48" spans="1:4" ht="9" hidden="1" customHeight="1">
      <c r="A48" s="31" t="s">
        <v>43</v>
      </c>
      <c r="B48" s="37">
        <f>INT(LOG10(B46))</f>
        <v>1</v>
      </c>
      <c r="C48" s="29"/>
      <c r="D48" s="30"/>
    </row>
    <row r="49" spans="1:4" ht="9" hidden="1" customHeight="1">
      <c r="A49" s="31" t="s">
        <v>44</v>
      </c>
      <c r="B49" s="37">
        <f>INT(LOG10(B43))</f>
        <v>1</v>
      </c>
      <c r="C49" s="29"/>
      <c r="D49" s="30"/>
    </row>
    <row r="50" spans="1:4" ht="9" hidden="1" customHeight="1">
      <c r="A50" s="31" t="s">
        <v>45</v>
      </c>
      <c r="B50" s="32">
        <f>IF(B48=B49,1,B48-B49+1)</f>
        <v>1</v>
      </c>
      <c r="C50" s="29"/>
      <c r="D50" s="30"/>
    </row>
    <row r="51" spans="1:4" ht="9" hidden="1" customHeight="1">
      <c r="A51" s="34" t="s">
        <v>46</v>
      </c>
      <c r="B51" s="35" t="str">
        <f>FIXED(B43,((-1*INT(LOG10(B43)))-B50)+B7,TRUE)</f>
        <v>21</v>
      </c>
      <c r="C51" s="29"/>
      <c r="D51" s="30"/>
    </row>
    <row r="52" spans="1:4" ht="9" hidden="1" customHeight="1">
      <c r="A52" s="38"/>
      <c r="B52" s="39"/>
      <c r="C52" s="40"/>
      <c r="D52" s="193"/>
    </row>
    <row r="53" spans="1:4" ht="14.65" customHeight="1">
      <c r="A53" s="41" t="s">
        <v>47</v>
      </c>
      <c r="B53" s="42" t="str">
        <f>IF(ISTEXT(B6),"MDL not a Number!",IFERROR(IF(B3="Blank","Blank: "&amp;B51&amp;" "&amp;IF(B6&gt;0,"^"&amp;B4,B4),IF(B6&gt;B5,"MDL &gt; Spike!",IF(B6&gt;0,B46&amp;" ± "&amp;B51&amp;" ^"&amp;B4,B46&amp;" ± "&amp;B51&amp;" "&amp;B4))),"Error!!"))</f>
        <v>90 ± 21 µg/kg</v>
      </c>
      <c r="C53" s="40"/>
      <c r="D53" s="193"/>
    </row>
    <row r="54" spans="1:4" ht="15.2" customHeight="1">
      <c r="A54" s="100"/>
      <c r="B54" s="100"/>
      <c r="C54" s="100"/>
      <c r="D54" s="100"/>
    </row>
  </sheetData>
  <sheetProtection sheet="1" objects="1" scenarios="1"/>
  <conditionalFormatting sqref="A5">
    <cfRule type="containsBlanks" dxfId="30" priority="5" stopIfTrue="1">
      <formula>ISBLANK(A5)</formula>
    </cfRule>
    <cfRule type="cellIs" dxfId="29" priority="6" stopIfTrue="1" operator="equal">
      <formula>0</formula>
    </cfRule>
  </conditionalFormatting>
  <conditionalFormatting sqref="B5">
    <cfRule type="containsBlanks" dxfId="28" priority="7" stopIfTrue="1">
      <formula>ISBLANK(B5)</formula>
    </cfRule>
    <cfRule type="cellIs" dxfId="27" priority="7" stopIfTrue="1" operator="equal">
      <formula>0</formula>
    </cfRule>
    <cfRule type="cellIs" dxfId="26" priority="7" stopIfTrue="1" operator="notBetween">
      <formula>0.00001</formula>
      <formula>10000000</formula>
    </cfRule>
  </conditionalFormatting>
  <conditionalFormatting sqref="B6">
    <cfRule type="containsBlanks" dxfId="25" priority="20" stopIfTrue="1">
      <formula>LEN(TRIM(B6))=0</formula>
    </cfRule>
    <cfRule type="cellIs" dxfId="24" priority="21" stopIfTrue="1" operator="between">
      <formula>0.00001</formula>
      <formula>10000000</formula>
    </cfRule>
    <cfRule type="cellIs" dxfId="23" priority="22" operator="notBetween">
      <formula>0.00001</formula>
      <formula>10000000</formula>
    </cfRule>
  </conditionalFormatting>
  <conditionalFormatting sqref="B7">
    <cfRule type="cellIs" dxfId="22" priority="9" stopIfTrue="1" operator="notEqual">
      <formula>2</formula>
    </cfRule>
  </conditionalFormatting>
  <conditionalFormatting sqref="A8">
    <cfRule type="containsText" dxfId="21" priority="10" stopIfTrue="1" operator="containsText" text="Try">
      <formula>NOT(ISERROR(FIND(UPPER("Try"),UPPER(A8))))</formula>
      <formula>"Try"</formula>
    </cfRule>
  </conditionalFormatting>
  <conditionalFormatting sqref="B8">
    <cfRule type="cellIs" dxfId="20" priority="11" stopIfTrue="1" operator="notEqual">
      <formula>1</formula>
    </cfRule>
  </conditionalFormatting>
  <conditionalFormatting sqref="B9">
    <cfRule type="containsText" dxfId="19" priority="12" stopIfTrue="1" operator="containsText" text="Excluded">
      <formula>NOT(ISERROR(FIND(UPPER("Excluded"),UPPER(B9))))</formula>
      <formula>"Excluded"</formula>
    </cfRule>
  </conditionalFormatting>
  <conditionalFormatting sqref="A17">
    <cfRule type="containsText" dxfId="18" priority="14" stopIfTrue="1" operator="containsText" text="Outlier">
      <formula>NOT(ISERROR(FIND(UPPER("Outlier"),UPPER(A17))))</formula>
      <formula>"Outlier"</formula>
    </cfRule>
  </conditionalFormatting>
  <conditionalFormatting sqref="A18">
    <cfRule type="containsText" dxfId="17" priority="15" stopIfTrue="1" operator="containsText" text="Outlier">
      <formula>NOT(ISERROR(FIND(UPPER("Outlier"),UPPER(A18))))</formula>
      <formula>"Outlier"</formula>
    </cfRule>
  </conditionalFormatting>
  <conditionalFormatting sqref="B19">
    <cfRule type="cellIs" dxfId="16" priority="16" stopIfTrue="1" operator="equal">
      <formula>"Blank"</formula>
    </cfRule>
  </conditionalFormatting>
  <conditionalFormatting sqref="B22">
    <cfRule type="cellIs" dxfId="15" priority="17" stopIfTrue="1" operator="equal">
      <formula>"Blank"</formula>
    </cfRule>
    <cfRule type="cellIs" dxfId="14" priority="17" stopIfTrue="1" operator="notBetween">
      <formula>0.2</formula>
      <formula>22</formula>
    </cfRule>
    <cfRule type="cellIs" dxfId="13" priority="17" stopIfTrue="1" operator="notBetween">
      <formula>0.5</formula>
      <formula>1.5</formula>
    </cfRule>
  </conditionalFormatting>
  <conditionalFormatting sqref="B24">
    <cfRule type="cellIs" dxfId="12" priority="18" stopIfTrue="1" operator="lessThan">
      <formula>3</formula>
    </cfRule>
  </conditionalFormatting>
  <conditionalFormatting sqref="B53">
    <cfRule type="containsText" dxfId="11" priority="19" stopIfTrue="1" operator="containsText" text="^">
      <formula>NOT(ISERROR(FIND(UPPER("^"),UPPER(B53))))</formula>
      <formula>"^"</formula>
    </cfRule>
    <cfRule type="containsText" dxfId="10" priority="19" stopIfTrue="1" operator="containsText" text="!">
      <formula>NOT(ISERROR(FIND(UPPER("!"),UPPER(B53))))</formula>
      <formula>"!"</formula>
    </cfRule>
  </conditionalFormatting>
  <conditionalFormatting sqref="B16">
    <cfRule type="cellIs" dxfId="9" priority="2" operator="greaterThan">
      <formula>2</formula>
    </cfRule>
    <cfRule type="cellIs" dxfId="8" priority="3" operator="lessThan">
      <formula>0.3</formula>
    </cfRule>
    <cfRule type="cellIs" dxfId="7" priority="4" operator="greaterThan">
      <formula>1</formula>
    </cfRule>
  </conditionalFormatting>
  <dataValidations count="4">
    <dataValidation type="list" allowBlank="1" showInputMessage="1" showErrorMessage="1" sqref="B3" xr:uid="{00000000-0002-0000-0000-000000000000}">
      <formula1>"Spike,Blank,Low Spike,Reference Material"</formula1>
    </dataValidation>
    <dataValidation type="list" allowBlank="1" showInputMessage="1" showErrorMessage="1" sqref="B4" xr:uid="{00000000-0002-0000-0000-000001000000}">
      <formula1>"ppm,ppb,ppt,mg/kg,µg/kg,ng/kg,mg/L,µg/L,ng/L,pg/L,g/L,percent,drops/floz"</formula1>
    </dataValidation>
    <dataValidation type="list" allowBlank="1" showInputMessage="1" showErrorMessage="1" sqref="B7" xr:uid="{00000000-0002-0000-0000-000002000000}">
      <formula1>"2,1,3"</formula1>
    </dataValidation>
    <dataValidation type="list" allowBlank="1" showInputMessage="1" showErrorMessage="1" sqref="B8" xr:uid="{00000000-0002-0000-0000-000003000000}">
      <formula1>"1,2"</formula1>
    </dataValidation>
  </dataValidations>
  <pageMargins left="0.89685099999999995" right="0.30629899999999999" top="0.94684999999999997" bottom="0.35629899999999998" header="0" footer="0"/>
  <pageSetup scale="84" orientation="portrait" r:id="rId1"/>
  <headerFooter>
    <oddFooter>&amp;C&amp;"Helvetica Neue,Regular"&amp;12&amp;K000000&amp;P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showGridLines="0" workbookViewId="0">
      <pane xSplit="7" topLeftCell="H1" activePane="topRight" state="frozen"/>
      <selection pane="topRight" activeCell="B8" sqref="B8"/>
    </sheetView>
  </sheetViews>
  <sheetFormatPr defaultColWidth="0" defaultRowHeight="15" customHeight="1" zeroHeight="1"/>
  <cols>
    <col min="1" max="1" width="31.875" style="125" customWidth="1"/>
    <col min="2" max="2" width="17.75" style="121" customWidth="1"/>
    <col min="3" max="7" width="8.875" style="121" hidden="1" customWidth="1"/>
    <col min="8" max="8" width="0.125" style="121" customWidth="1"/>
    <col min="9" max="16384" width="8.875" style="121" hidden="1"/>
  </cols>
  <sheetData>
    <row r="1" spans="1:7" ht="16.7" customHeight="1">
      <c r="A1" s="194" t="s">
        <v>48</v>
      </c>
      <c r="B1" s="195">
        <v>86.38</v>
      </c>
      <c r="C1" s="120"/>
      <c r="D1" s="120"/>
      <c r="E1" s="120"/>
      <c r="F1" s="120"/>
      <c r="G1" s="120"/>
    </row>
    <row r="2" spans="1:7" ht="16.7" customHeight="1">
      <c r="A2" s="118" t="s">
        <v>49</v>
      </c>
      <c r="B2" s="119">
        <v>87.79</v>
      </c>
      <c r="C2" s="122"/>
      <c r="D2" s="122"/>
      <c r="E2" s="122"/>
      <c r="F2" s="122"/>
      <c r="G2" s="122"/>
    </row>
    <row r="3" spans="1:7" ht="16.7" customHeight="1">
      <c r="A3" s="118" t="s">
        <v>50</v>
      </c>
      <c r="B3" s="119">
        <v>77.94</v>
      </c>
      <c r="C3" s="122"/>
      <c r="D3" s="122"/>
      <c r="E3" s="122"/>
      <c r="F3" s="122"/>
      <c r="G3" s="122"/>
    </row>
    <row r="4" spans="1:7" ht="16.7" customHeight="1">
      <c r="A4" s="118" t="s">
        <v>51</v>
      </c>
      <c r="B4" s="119">
        <v>72.11</v>
      </c>
      <c r="C4" s="122"/>
      <c r="D4" s="122"/>
      <c r="E4" s="122"/>
      <c r="F4" s="122"/>
      <c r="G4" s="122"/>
    </row>
    <row r="5" spans="1:7" ht="16.7" customHeight="1">
      <c r="A5" s="118" t="s">
        <v>52</v>
      </c>
      <c r="B5" s="119">
        <v>78.56</v>
      </c>
      <c r="C5" s="122"/>
      <c r="D5" s="122"/>
      <c r="E5" s="122"/>
      <c r="F5" s="122"/>
      <c r="G5" s="122"/>
    </row>
    <row r="6" spans="1:7" ht="16.7" customHeight="1">
      <c r="A6" s="118" t="s">
        <v>53</v>
      </c>
      <c r="B6" s="119">
        <v>89.84</v>
      </c>
      <c r="C6" s="122"/>
      <c r="D6" s="122"/>
      <c r="E6" s="122"/>
      <c r="F6" s="122"/>
      <c r="G6" s="122"/>
    </row>
    <row r="7" spans="1:7" ht="16.7" customHeight="1">
      <c r="A7" s="118" t="s">
        <v>54</v>
      </c>
      <c r="B7" s="119">
        <v>89.3</v>
      </c>
      <c r="C7" s="122"/>
      <c r="D7" s="122"/>
      <c r="E7" s="122"/>
      <c r="F7" s="122"/>
      <c r="G7" s="122"/>
    </row>
    <row r="8" spans="1:7" ht="16.7" customHeight="1">
      <c r="A8" s="118" t="s">
        <v>55</v>
      </c>
      <c r="B8" s="119">
        <v>83.42</v>
      </c>
      <c r="C8" s="122"/>
      <c r="D8" s="122"/>
      <c r="E8" s="122"/>
      <c r="F8" s="122"/>
      <c r="G8" s="122"/>
    </row>
    <row r="9" spans="1:7" ht="16.7" customHeight="1">
      <c r="A9" s="118" t="s">
        <v>56</v>
      </c>
      <c r="B9" s="119" t="s">
        <v>57</v>
      </c>
      <c r="C9" s="122"/>
      <c r="D9" s="122"/>
      <c r="E9" s="122"/>
      <c r="F9" s="122"/>
      <c r="G9" s="122"/>
    </row>
    <row r="10" spans="1:7" ht="16.7" customHeight="1">
      <c r="A10" s="118"/>
      <c r="B10" s="119"/>
      <c r="C10" s="122"/>
      <c r="D10" s="122"/>
      <c r="E10" s="122"/>
      <c r="F10" s="122"/>
      <c r="G10" s="122"/>
    </row>
    <row r="11" spans="1:7" ht="16.7" customHeight="1">
      <c r="A11" s="118"/>
      <c r="B11" s="119"/>
      <c r="C11" s="122"/>
      <c r="D11" s="122"/>
      <c r="E11" s="122"/>
      <c r="F11" s="122"/>
      <c r="G11" s="122"/>
    </row>
    <row r="12" spans="1:7" ht="16.7" customHeight="1">
      <c r="A12" s="118"/>
      <c r="B12" s="119"/>
      <c r="C12" s="122"/>
      <c r="D12" s="122"/>
      <c r="E12" s="122"/>
      <c r="F12" s="122"/>
      <c r="G12" s="122"/>
    </row>
    <row r="13" spans="1:7" ht="16.7" customHeight="1">
      <c r="A13" s="118"/>
      <c r="B13" s="119"/>
      <c r="C13" s="122"/>
      <c r="D13" s="122"/>
      <c r="E13" s="122"/>
      <c r="F13" s="122"/>
      <c r="G13" s="122"/>
    </row>
    <row r="14" spans="1:7" ht="16.7" customHeight="1">
      <c r="A14" s="118"/>
      <c r="B14" s="119"/>
      <c r="C14" s="122"/>
      <c r="D14" s="122"/>
      <c r="E14" s="122"/>
      <c r="F14" s="122"/>
      <c r="G14" s="122"/>
    </row>
    <row r="15" spans="1:7" ht="16.7" customHeight="1">
      <c r="A15" s="118"/>
      <c r="B15" s="119"/>
      <c r="C15" s="122"/>
      <c r="D15" s="122"/>
      <c r="E15" s="122"/>
      <c r="F15" s="122"/>
      <c r="G15" s="122"/>
    </row>
    <row r="16" spans="1:7" ht="16.7" customHeight="1">
      <c r="A16" s="118"/>
      <c r="B16" s="119"/>
      <c r="C16" s="122"/>
      <c r="D16" s="122"/>
      <c r="E16" s="122"/>
      <c r="F16" s="122"/>
      <c r="G16" s="122"/>
    </row>
    <row r="17" spans="1:7" ht="16.7" customHeight="1">
      <c r="A17" s="118"/>
      <c r="B17" s="119"/>
      <c r="C17" s="122"/>
      <c r="D17" s="122"/>
      <c r="E17" s="122"/>
      <c r="F17" s="122"/>
      <c r="G17" s="122"/>
    </row>
    <row r="18" spans="1:7" ht="16.7" customHeight="1">
      <c r="A18" s="118"/>
      <c r="B18" s="119"/>
      <c r="C18" s="122"/>
      <c r="D18" s="122"/>
      <c r="E18" s="122"/>
      <c r="F18" s="122"/>
      <c r="G18" s="122"/>
    </row>
    <row r="19" spans="1:7" ht="16.7" customHeight="1">
      <c r="A19" s="118"/>
      <c r="B19" s="119"/>
      <c r="C19" s="122"/>
      <c r="D19" s="122"/>
      <c r="E19" s="122"/>
      <c r="F19" s="122"/>
      <c r="G19" s="122"/>
    </row>
    <row r="20" spans="1:7" ht="16.7" customHeight="1">
      <c r="A20" s="118"/>
      <c r="B20" s="119"/>
      <c r="C20" s="122"/>
      <c r="D20" s="122"/>
      <c r="E20" s="122"/>
      <c r="F20" s="122"/>
      <c r="G20" s="122"/>
    </row>
    <row r="21" spans="1:7" ht="16.7" customHeight="1">
      <c r="A21" s="118"/>
      <c r="B21" s="119"/>
      <c r="C21" s="122"/>
      <c r="D21" s="122"/>
      <c r="E21" s="122"/>
      <c r="F21" s="122"/>
      <c r="G21" s="122"/>
    </row>
    <row r="22" spans="1:7" ht="16.7" customHeight="1">
      <c r="A22" s="118"/>
      <c r="B22" s="119"/>
      <c r="C22" s="122"/>
      <c r="D22" s="122"/>
      <c r="E22" s="122"/>
      <c r="F22" s="122"/>
      <c r="G22" s="122"/>
    </row>
    <row r="23" spans="1:7" ht="16.7" customHeight="1">
      <c r="A23" s="118"/>
      <c r="B23" s="119"/>
      <c r="C23" s="122"/>
      <c r="D23" s="122"/>
      <c r="E23" s="122"/>
      <c r="F23" s="122"/>
      <c r="G23" s="122"/>
    </row>
    <row r="24" spans="1:7" ht="16.7" customHeight="1">
      <c r="A24" s="118"/>
      <c r="B24" s="119"/>
      <c r="C24" s="122"/>
      <c r="D24" s="122"/>
      <c r="E24" s="122"/>
      <c r="F24" s="122"/>
      <c r="G24" s="122"/>
    </row>
    <row r="25" spans="1:7" ht="16.7" customHeight="1">
      <c r="A25" s="118"/>
      <c r="B25" s="119"/>
      <c r="C25" s="122"/>
      <c r="D25" s="122"/>
      <c r="E25" s="122"/>
      <c r="F25" s="122"/>
      <c r="G25" s="122"/>
    </row>
    <row r="26" spans="1:7" ht="16.7" customHeight="1">
      <c r="A26" s="118"/>
      <c r="B26" s="119"/>
      <c r="C26" s="122"/>
      <c r="D26" s="122"/>
      <c r="E26" s="122"/>
      <c r="F26" s="122"/>
      <c r="G26" s="122"/>
    </row>
    <row r="27" spans="1:7" ht="16.7" customHeight="1">
      <c r="A27" s="118"/>
      <c r="B27" s="119"/>
      <c r="C27" s="122"/>
      <c r="D27" s="122"/>
      <c r="E27" s="122"/>
      <c r="F27" s="122"/>
      <c r="G27" s="122"/>
    </row>
    <row r="28" spans="1:7" ht="16.7" customHeight="1">
      <c r="A28" s="118"/>
      <c r="B28" s="119"/>
      <c r="C28" s="122"/>
      <c r="D28" s="122"/>
      <c r="E28" s="122"/>
      <c r="F28" s="122"/>
      <c r="G28" s="122"/>
    </row>
    <row r="29" spans="1:7" ht="16.7" customHeight="1">
      <c r="A29" s="118"/>
      <c r="B29" s="119"/>
      <c r="C29" s="122"/>
      <c r="D29" s="122"/>
      <c r="E29" s="122"/>
      <c r="F29" s="122"/>
      <c r="G29" s="122"/>
    </row>
    <row r="30" spans="1:7" ht="16.7" customHeight="1">
      <c r="A30" s="118"/>
      <c r="B30" s="119"/>
      <c r="C30" s="122"/>
      <c r="D30" s="123"/>
      <c r="E30" s="123"/>
      <c r="F30" s="122"/>
      <c r="G30" s="122"/>
    </row>
    <row r="31" spans="1:7" ht="16.7" customHeight="1">
      <c r="A31" s="116"/>
      <c r="B31" s="117"/>
      <c r="C31" s="123"/>
      <c r="D31" s="124"/>
      <c r="E31" s="124"/>
      <c r="F31" s="123"/>
      <c r="G31" s="123"/>
    </row>
  </sheetData>
  <sheetProtection algorithmName="SHA-512" hashValue="XznqIcz1YTVc5glUFaaIXnqZRrAb6dPBbIXrHXDmxz4JIGOBiUjXajKJ4qMHifPYC9fobntkRTReccZl6WsONQ==" saltValue="6YBrDahtS7mvBvGhb86fqA==" spinCount="100000" sheet="1" objects="1" scenarios="1"/>
  <conditionalFormatting sqref="B1:B31">
    <cfRule type="containsBlanks" dxfId="6" priority="1">
      <formula>LEN(TRIM(B1))=0</formula>
    </cfRule>
    <cfRule type="cellIs" dxfId="5" priority="5" operator="notBetween">
      <formula>0.00001</formula>
      <formula>10000000</formula>
    </cfRule>
  </conditionalFormatting>
  <pageMargins left="1" right="1" top="1" bottom="1" header="0" footer="0"/>
  <pageSetup scale="46" orientation="portrait" r:id="rId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showGridLines="0" workbookViewId="0">
      <pane xSplit="6" topLeftCell="XFD1" activePane="topRight" state="frozen"/>
      <selection pane="topRight" activeCell="B31" sqref="B31"/>
    </sheetView>
  </sheetViews>
  <sheetFormatPr defaultColWidth="0" defaultRowHeight="15" customHeight="1" zeroHeight="1"/>
  <cols>
    <col min="1" max="1" width="46.875" style="129" customWidth="1"/>
    <col min="2" max="2" width="46.75" style="129" customWidth="1"/>
    <col min="3" max="3" width="8.875" style="129" hidden="1" customWidth="1"/>
    <col min="4" max="6" width="8.875" style="43" hidden="1" customWidth="1"/>
    <col min="7" max="7" width="0.5" style="43" customWidth="1"/>
    <col min="8" max="8" width="0" style="43" hidden="1" customWidth="1"/>
    <col min="9" max="16384" width="8.875" style="43" hidden="1"/>
  </cols>
  <sheetData>
    <row r="1" spans="1:6" s="100" customFormat="1" ht="15" customHeight="1">
      <c r="A1" s="129"/>
      <c r="B1" s="129"/>
      <c r="C1" s="129"/>
    </row>
    <row r="2" spans="1:6" s="128" customFormat="1" ht="16.350000000000001" customHeight="1">
      <c r="A2" s="169" t="str">
        <f>"Summary Report - "&amp;B17</f>
        <v>Summary Report - Low Spike</v>
      </c>
      <c r="B2" s="170"/>
      <c r="C2" s="126"/>
      <c r="D2" s="127"/>
      <c r="E2" s="127"/>
      <c r="F2" s="127"/>
    </row>
    <row r="3" spans="1:6" s="128" customFormat="1" ht="14.45" customHeight="1">
      <c r="A3" s="167"/>
      <c r="B3" s="168"/>
      <c r="C3" s="126"/>
      <c r="D3" s="127"/>
      <c r="E3" s="127"/>
      <c r="F3" s="127"/>
    </row>
    <row r="4" spans="1:6" ht="16.7" customHeight="1">
      <c r="A4" s="130" t="s">
        <v>58</v>
      </c>
      <c r="B4" s="146">
        <v>44676</v>
      </c>
      <c r="C4" s="99"/>
      <c r="D4" s="45"/>
      <c r="E4" s="45"/>
      <c r="F4" s="45"/>
    </row>
    <row r="5" spans="1:6" ht="16.7" customHeight="1">
      <c r="A5" s="130" t="s">
        <v>59</v>
      </c>
      <c r="B5" s="147" t="s">
        <v>60</v>
      </c>
      <c r="C5" s="99"/>
      <c r="D5" s="45"/>
      <c r="E5" s="45"/>
      <c r="F5" s="45"/>
    </row>
    <row r="6" spans="1:6" ht="16.7" customHeight="1">
      <c r="A6" s="130" t="s">
        <v>61</v>
      </c>
      <c r="B6" s="147" t="s">
        <v>62</v>
      </c>
      <c r="C6" s="99"/>
      <c r="D6" s="45"/>
      <c r="E6" s="45"/>
      <c r="F6" s="45"/>
    </row>
    <row r="7" spans="1:6" ht="16.7" customHeight="1">
      <c r="A7" s="130"/>
      <c r="B7" s="147" t="s">
        <v>63</v>
      </c>
      <c r="C7" s="99"/>
      <c r="D7" s="45"/>
      <c r="E7" s="45"/>
      <c r="F7" s="45"/>
    </row>
    <row r="8" spans="1:6" ht="16.7" customHeight="1">
      <c r="A8" s="130"/>
      <c r="B8" s="148"/>
      <c r="C8" s="99"/>
      <c r="D8" s="45"/>
      <c r="E8" s="45"/>
      <c r="F8" s="45"/>
    </row>
    <row r="9" spans="1:6" ht="16.7" customHeight="1">
      <c r="A9" s="130" t="s">
        <v>64</v>
      </c>
      <c r="B9" s="147" t="s">
        <v>65</v>
      </c>
      <c r="C9" s="99"/>
      <c r="D9" s="45"/>
      <c r="E9" s="45"/>
      <c r="F9" s="45"/>
    </row>
    <row r="10" spans="1:6" ht="16.7" customHeight="1">
      <c r="A10" s="135"/>
      <c r="B10" s="147" t="s">
        <v>66</v>
      </c>
      <c r="C10" s="99"/>
      <c r="D10" s="45"/>
      <c r="E10" s="45"/>
      <c r="F10" s="45"/>
    </row>
    <row r="11" spans="1:6" ht="16.7" customHeight="1">
      <c r="A11" s="134"/>
      <c r="B11" s="148"/>
      <c r="C11" s="99"/>
      <c r="D11" s="45"/>
      <c r="E11" s="45"/>
      <c r="F11" s="45"/>
    </row>
    <row r="12" spans="1:6" ht="16.7" customHeight="1">
      <c r="A12" s="130" t="s">
        <v>67</v>
      </c>
      <c r="B12" s="147" t="s">
        <v>68</v>
      </c>
      <c r="C12" s="99"/>
      <c r="D12" s="45"/>
      <c r="E12" s="45"/>
      <c r="F12" s="45"/>
    </row>
    <row r="13" spans="1:6" ht="16.350000000000001" customHeight="1">
      <c r="A13" s="131"/>
      <c r="B13" s="149"/>
      <c r="C13" s="99"/>
      <c r="D13" s="45"/>
      <c r="E13" s="45"/>
      <c r="F13" s="45"/>
    </row>
    <row r="14" spans="1:6" ht="16.350000000000001" customHeight="1">
      <c r="A14" s="132"/>
      <c r="B14" s="150"/>
      <c r="C14" s="99"/>
      <c r="D14" s="45"/>
      <c r="E14" s="45"/>
      <c r="F14" s="45"/>
    </row>
    <row r="15" spans="1:6" ht="16.7" customHeight="1">
      <c r="A15" s="133" t="s">
        <v>69</v>
      </c>
      <c r="B15" s="151" t="str">
        <f>MainTable!B2</f>
        <v>Acrylamide</v>
      </c>
      <c r="C15" s="99"/>
      <c r="D15" s="45"/>
      <c r="E15" s="45"/>
      <c r="F15" s="45"/>
    </row>
    <row r="16" spans="1:6" ht="16.7" customHeight="1">
      <c r="A16" s="133" t="s">
        <v>70</v>
      </c>
      <c r="B16" s="152">
        <f>MainTable!B24</f>
        <v>8</v>
      </c>
      <c r="C16" s="99"/>
      <c r="D16" s="45"/>
      <c r="E16" s="45"/>
      <c r="F16" s="45"/>
    </row>
    <row r="17" spans="1:6" ht="16.7" customHeight="1">
      <c r="A17" s="134" t="str">
        <f>IF(B17&lt;&gt;"Certified Reference","Report Type","Reporting Type NOT yet installed...")</f>
        <v>Report Type</v>
      </c>
      <c r="B17" s="153" t="str">
        <f>MainTable!B3</f>
        <v>Low Spike</v>
      </c>
      <c r="C17" s="99"/>
      <c r="D17" s="45"/>
      <c r="E17" s="45"/>
      <c r="F17" s="45"/>
    </row>
    <row r="18" spans="1:6" ht="16.7" customHeight="1">
      <c r="A18" s="135" t="str">
        <f>IF(B17="Reference Material","Reference Material Type (PT, CRM, Lab., etc.)","")</f>
        <v/>
      </c>
      <c r="B18" s="154"/>
      <c r="C18" s="99"/>
      <c r="D18" s="45"/>
      <c r="E18" s="45"/>
      <c r="F18" s="45"/>
    </row>
    <row r="19" spans="1:6" ht="16.7" customHeight="1">
      <c r="A19" s="133" t="str">
        <f>IF(B17="Reference Material","ReferenceID: (PT, Batch/SerialNo., Date, etc.)","")</f>
        <v/>
      </c>
      <c r="B19" s="155"/>
      <c r="C19" s="99"/>
      <c r="D19" s="45"/>
      <c r="E19" s="45"/>
      <c r="F19" s="45"/>
    </row>
    <row r="20" spans="1:6" ht="16.7" customHeight="1">
      <c r="A20" s="136" t="str">
        <f>IF(B17="Reference Material","Reference Material Uncertainty: "&amp;MainTable!B4&amp;" (info only)","")</f>
        <v/>
      </c>
      <c r="B20" s="155"/>
      <c r="C20" s="99"/>
      <c r="D20" s="45"/>
      <c r="E20" s="45"/>
      <c r="F20" s="45"/>
    </row>
    <row r="21" spans="1:6" ht="16.7" customHeight="1">
      <c r="A21" s="134" t="str">
        <f>B17&amp;" Level"</f>
        <v>Low Spike Level</v>
      </c>
      <c r="B21" s="153" t="str">
        <f>MainTable!B5&amp;" "&amp;MainTable!B4</f>
        <v>90 µg/kg</v>
      </c>
      <c r="C21" s="99"/>
      <c r="D21" s="45"/>
      <c r="E21" s="45"/>
      <c r="F21" s="45"/>
    </row>
    <row r="22" spans="1:6" ht="16.149999999999999" customHeight="1">
      <c r="A22" s="135" t="str">
        <f>MainTable!$A22</f>
        <v>% Recovery</v>
      </c>
      <c r="B22" s="156">
        <f>IF(MainTable!B3="Blank","Blank",MainTable!B22)</f>
        <v>0.92408333333333326</v>
      </c>
      <c r="C22" s="99"/>
      <c r="D22" s="45"/>
      <c r="E22" s="45"/>
      <c r="F22" s="45"/>
    </row>
    <row r="23" spans="1:6" ht="16.149999999999999" customHeight="1">
      <c r="A23" s="134" t="s">
        <v>13</v>
      </c>
      <c r="B23" s="157">
        <f>MainTable!B11</f>
        <v>7.667658640694984E-2</v>
      </c>
      <c r="C23" s="99"/>
      <c r="D23" s="45"/>
      <c r="E23" s="45"/>
      <c r="F23" s="45"/>
    </row>
    <row r="24" spans="1:6" ht="16.7" customHeight="1">
      <c r="A24" s="130" t="s">
        <v>71</v>
      </c>
      <c r="B24" s="158">
        <f>MainTable!B12</f>
        <v>7.5916666666666743E-2</v>
      </c>
      <c r="C24" s="99"/>
      <c r="D24" s="45"/>
      <c r="E24" s="45"/>
      <c r="F24" s="45"/>
    </row>
    <row r="25" spans="1:6" ht="16.7" customHeight="1">
      <c r="A25" s="137" t="s">
        <v>72</v>
      </c>
      <c r="B25" s="159" t="s">
        <v>73</v>
      </c>
      <c r="C25" s="99"/>
      <c r="D25" s="45"/>
      <c r="E25" s="45"/>
      <c r="F25" s="45"/>
    </row>
    <row r="26" spans="1:6" ht="16.7" customHeight="1">
      <c r="A26" s="135" t="str">
        <f>MainTable!$A16</f>
        <v xml:space="preserve">Horwitz Ratio (Ideally 0.3≤ HorRat ≤1)   </v>
      </c>
      <c r="B26" s="160">
        <f>MainTable!B16</f>
        <v>0.34852993821340833</v>
      </c>
      <c r="C26" s="99"/>
      <c r="D26" s="45"/>
      <c r="E26" s="45"/>
      <c r="F26" s="45"/>
    </row>
    <row r="27" spans="1:6" ht="16.7" customHeight="1">
      <c r="A27" s="138" t="s">
        <v>74</v>
      </c>
      <c r="B27" s="161" t="s">
        <v>73</v>
      </c>
      <c r="C27" s="99"/>
      <c r="D27" s="45"/>
      <c r="E27" s="45"/>
      <c r="F27" s="45"/>
    </row>
    <row r="28" spans="1:6" ht="16.350000000000001" customHeight="1">
      <c r="A28" s="139"/>
      <c r="B28" s="162"/>
      <c r="C28" s="99"/>
      <c r="D28" s="45"/>
      <c r="E28" s="45"/>
      <c r="F28" s="45"/>
    </row>
    <row r="29" spans="1:6" ht="16.350000000000001" customHeight="1">
      <c r="A29" s="140"/>
      <c r="B29" s="163"/>
      <c r="C29" s="99"/>
      <c r="D29" s="45"/>
      <c r="E29" s="45"/>
      <c r="F29" s="45"/>
    </row>
    <row r="30" spans="1:6" ht="16.7" customHeight="1">
      <c r="A30" s="141" t="str">
        <f>"Result to "&amp;MainTable!B7&amp;" Significant figures"</f>
        <v>Result to 2 Significant figures</v>
      </c>
      <c r="B30" s="164" t="str">
        <f>MainTable!B19&amp;" "&amp;MainTable!B4</f>
        <v>83 µg/kg</v>
      </c>
      <c r="C30" s="99"/>
      <c r="D30" s="45"/>
      <c r="E30" s="45"/>
      <c r="F30" s="45"/>
    </row>
    <row r="31" spans="1:6" ht="16.7" customHeight="1">
      <c r="A31" s="142" t="s">
        <v>75</v>
      </c>
      <c r="B31" s="165" t="str">
        <f>IF(MainTable!B3="Blank",0,MainTable!B20&amp;" "&amp;MainTable!B4)</f>
        <v>21 µg/kg</v>
      </c>
      <c r="C31" s="99"/>
      <c r="D31" s="45"/>
      <c r="E31" s="45"/>
      <c r="F31" s="45"/>
    </row>
    <row r="32" spans="1:6" ht="16.7" customHeight="1">
      <c r="A32" s="142" t="s">
        <v>76</v>
      </c>
      <c r="B32" s="165" t="str">
        <f>IF(MainTable!B3="Blank",0,MainTable!B21&amp;" "&amp;MainTable!B4)</f>
        <v>62 µg/kg</v>
      </c>
      <c r="C32" s="99"/>
      <c r="D32" s="45"/>
      <c r="E32" s="45"/>
      <c r="F32" s="45"/>
    </row>
    <row r="33" spans="1:6" ht="16.7" customHeight="1">
      <c r="A33" s="143" t="str">
        <f>IF(B27&amp;B25="YesYes","Result Corrected for Recovery Bias","Horwitz Ratio / Bias Not Approved")</f>
        <v>Result Corrected for Recovery Bias</v>
      </c>
      <c r="B33" s="166" t="str">
        <f>MainTable!B53</f>
        <v>90 ± 21 µg/kg</v>
      </c>
      <c r="C33" s="99"/>
      <c r="D33" s="45"/>
      <c r="E33" s="45"/>
      <c r="F33" s="45"/>
    </row>
    <row r="34" spans="1:6" ht="14.25" hidden="1" customHeight="1">
      <c r="A34" s="144"/>
      <c r="B34" s="144"/>
      <c r="C34" s="99"/>
      <c r="D34" s="45"/>
      <c r="E34" s="45"/>
      <c r="F34" s="45"/>
    </row>
    <row r="35" spans="1:6" s="129" customFormat="1" ht="15" customHeight="1">
      <c r="A35" s="145"/>
      <c r="B35" s="145"/>
      <c r="C35" s="99"/>
      <c r="D35" s="45"/>
      <c r="E35" s="45"/>
      <c r="F35" s="45"/>
    </row>
    <row r="36" spans="1:6" ht="15" customHeight="1">
      <c r="D36" s="100"/>
      <c r="E36" s="100"/>
      <c r="F36" s="100"/>
    </row>
  </sheetData>
  <sheetProtection algorithmName="SHA-512" hashValue="Nc2c4xDjDd6kXdN/0botDMQN9flx8DW84tsyuo102YxGrnBWg6bPOne+osqfittLQUnwG8K6pbRvUS44L1xdTg==" saltValue="GnomyLSBZgphW0oufaPg5g==" spinCount="100000" sheet="1" objects="1" scenarios="1"/>
  <conditionalFormatting sqref="A17">
    <cfRule type="cellIs" dxfId="4" priority="1" stopIfTrue="1" operator="equal">
      <formula>"Reporting Type NOT yet installed..."</formula>
    </cfRule>
  </conditionalFormatting>
  <conditionalFormatting sqref="B25 B27">
    <cfRule type="cellIs" dxfId="3" priority="2" stopIfTrue="1" operator="notEqual">
      <formula>"Yes"</formula>
    </cfRule>
  </conditionalFormatting>
  <conditionalFormatting sqref="B31:B32">
    <cfRule type="cellIs" dxfId="2" priority="3" stopIfTrue="1" operator="equal">
      <formula>0</formula>
    </cfRule>
  </conditionalFormatting>
  <conditionalFormatting sqref="A33">
    <cfRule type="containsText" dxfId="1" priority="4" stopIfTrue="1" operator="containsText" text="Not">
      <formula>NOT(ISERROR(FIND(UPPER("Not"),UPPER(A33))))</formula>
      <formula>"Not"</formula>
    </cfRule>
  </conditionalFormatting>
  <conditionalFormatting sqref="B33">
    <cfRule type="containsText" dxfId="0" priority="5" stopIfTrue="1" operator="containsText" text="Blank">
      <formula>NOT(ISERROR(FIND(UPPER("Blank"),UPPER(B33))))</formula>
      <formula>"Blank"</formula>
    </cfRule>
  </conditionalFormatting>
  <dataValidations count="1">
    <dataValidation type="list" allowBlank="1" showInputMessage="1" showErrorMessage="1" sqref="B25 B27" xr:uid="{00000000-0002-0000-0200-000000000000}">
      <formula1>"Choose Y/N,Yes,Not Satisfactory"</formula1>
    </dataValidation>
  </dataValidations>
  <pageMargins left="1" right="1" top="1.19685" bottom="1" header="0" footer="0"/>
  <pageSetup scale="76" orientation="portrait" r:id="rId1"/>
  <headerFooter>
    <oddFooter>&amp;C&amp;"Helvetica Neue,Regular"&amp;12&amp;K000000&amp;P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2"/>
  <sheetViews>
    <sheetView showGridLines="0" showRowColHeaders="0" workbookViewId="0">
      <pane xSplit="10" topLeftCell="XFD1" activePane="topRight" state="frozen"/>
      <selection pane="topRight" activeCell="C1" sqref="C1:D1"/>
    </sheetView>
  </sheetViews>
  <sheetFormatPr defaultColWidth="0" defaultRowHeight="0" customHeight="1" zeroHeight="1"/>
  <cols>
    <col min="1" max="1" width="15.375" style="49" customWidth="1"/>
    <col min="2" max="2" width="16" style="49" customWidth="1"/>
    <col min="3" max="3" width="14.25" style="49" customWidth="1"/>
    <col min="4" max="4" width="14.75" style="49" customWidth="1"/>
    <col min="5" max="10" width="8.875" style="49" hidden="1" customWidth="1"/>
    <col min="11" max="11" width="0.75" style="49" customWidth="1"/>
    <col min="12" max="16384" width="8.875" style="49" hidden="1"/>
  </cols>
  <sheetData>
    <row r="1" spans="1:10" ht="24" customHeight="1">
      <c r="A1" s="196" t="s">
        <v>77</v>
      </c>
      <c r="B1" s="197"/>
      <c r="C1" s="198" t="s">
        <v>78</v>
      </c>
      <c r="D1" s="199"/>
      <c r="E1" s="50"/>
      <c r="F1" s="50"/>
      <c r="G1" s="50"/>
      <c r="H1" s="50"/>
      <c r="I1" s="50"/>
      <c r="J1" s="172"/>
    </row>
    <row r="2" spans="1:10" ht="15.75" customHeight="1">
      <c r="A2" s="51" t="s">
        <v>79</v>
      </c>
      <c r="B2" s="52">
        <v>0.99</v>
      </c>
      <c r="C2" s="53" t="s">
        <v>80</v>
      </c>
      <c r="D2" s="54" t="s">
        <v>81</v>
      </c>
      <c r="E2" s="55"/>
      <c r="F2" s="55"/>
      <c r="G2" s="55"/>
      <c r="H2" s="55"/>
      <c r="I2" s="55"/>
      <c r="J2" s="55"/>
    </row>
    <row r="3" spans="1:10" ht="15.75" customHeight="1">
      <c r="A3" s="56">
        <v>1</v>
      </c>
      <c r="B3" s="57">
        <v>31.82</v>
      </c>
      <c r="C3" s="58"/>
      <c r="D3" s="59"/>
      <c r="E3" s="60"/>
      <c r="F3" s="60"/>
      <c r="G3" s="60"/>
      <c r="H3" s="60"/>
      <c r="I3" s="60"/>
      <c r="J3" s="60"/>
    </row>
    <row r="4" spans="1:10" ht="15.75" customHeight="1">
      <c r="A4" s="61">
        <v>2</v>
      </c>
      <c r="B4" s="62">
        <v>6.9649999999999999</v>
      </c>
      <c r="C4" s="63"/>
      <c r="D4" s="64"/>
      <c r="E4" s="60"/>
      <c r="F4" s="60"/>
      <c r="G4" s="60"/>
      <c r="H4" s="60"/>
      <c r="I4" s="60"/>
      <c r="J4" s="60"/>
    </row>
    <row r="5" spans="1:10" ht="15.75" customHeight="1">
      <c r="A5" s="65">
        <v>3</v>
      </c>
      <c r="B5" s="66">
        <v>4.5410000000000004</v>
      </c>
      <c r="C5" s="67">
        <v>1.153</v>
      </c>
      <c r="D5" s="68">
        <v>1.155</v>
      </c>
      <c r="E5" s="60"/>
      <c r="F5" s="60"/>
      <c r="G5" s="60"/>
      <c r="H5" s="60"/>
      <c r="I5" s="60"/>
      <c r="J5" s="60"/>
    </row>
    <row r="6" spans="1:10" ht="15.75" customHeight="1">
      <c r="A6" s="61">
        <v>4</v>
      </c>
      <c r="B6" s="62">
        <v>3.7469999999999999</v>
      </c>
      <c r="C6" s="69">
        <v>1.4630000000000001</v>
      </c>
      <c r="D6" s="70">
        <v>1.4810000000000001</v>
      </c>
      <c r="E6" s="60"/>
      <c r="F6" s="60"/>
      <c r="G6" s="60"/>
      <c r="H6" s="60"/>
      <c r="I6" s="60"/>
      <c r="J6" s="60"/>
    </row>
    <row r="7" spans="1:10" ht="15.75" customHeight="1">
      <c r="A7" s="65">
        <v>5</v>
      </c>
      <c r="B7" s="66">
        <v>3.3650000000000002</v>
      </c>
      <c r="C7" s="67">
        <v>1.6719999999999999</v>
      </c>
      <c r="D7" s="68">
        <v>1.7150000000000001</v>
      </c>
      <c r="E7" s="60"/>
      <c r="F7" s="60"/>
      <c r="G7" s="60"/>
      <c r="H7" s="60"/>
      <c r="I7" s="60"/>
      <c r="J7" s="60"/>
    </row>
    <row r="8" spans="1:10" ht="15.75" customHeight="1">
      <c r="A8" s="61">
        <v>6</v>
      </c>
      <c r="B8" s="62">
        <v>3.1429999999999998</v>
      </c>
      <c r="C8" s="69">
        <v>1.8220000000000001</v>
      </c>
      <c r="D8" s="70">
        <v>1.887</v>
      </c>
      <c r="E8" s="60"/>
      <c r="F8" s="60"/>
      <c r="G8" s="60"/>
      <c r="H8" s="60"/>
      <c r="I8" s="60"/>
      <c r="J8" s="60"/>
    </row>
    <row r="9" spans="1:10" ht="15.75" customHeight="1">
      <c r="A9" s="65">
        <v>7</v>
      </c>
      <c r="B9" s="66">
        <v>2.9980000000000002</v>
      </c>
      <c r="C9" s="67">
        <v>1.9379999999999999</v>
      </c>
      <c r="D9" s="68">
        <v>2.02</v>
      </c>
      <c r="E9" s="60"/>
      <c r="F9" s="60"/>
      <c r="G9" s="60"/>
      <c r="H9" s="60"/>
      <c r="I9" s="60"/>
      <c r="J9" s="60"/>
    </row>
    <row r="10" spans="1:10" ht="15.75" customHeight="1">
      <c r="A10" s="61">
        <v>8</v>
      </c>
      <c r="B10" s="62">
        <v>2.8959999999999999</v>
      </c>
      <c r="C10" s="69">
        <v>2.032</v>
      </c>
      <c r="D10" s="70">
        <v>2.1259999999999999</v>
      </c>
      <c r="E10" s="60"/>
      <c r="F10" s="60"/>
      <c r="G10" s="60"/>
      <c r="H10" s="60"/>
      <c r="I10" s="60"/>
      <c r="J10" s="60"/>
    </row>
    <row r="11" spans="1:10" ht="15.75" customHeight="1">
      <c r="A11" s="65">
        <v>9</v>
      </c>
      <c r="B11" s="66">
        <v>2.8210000000000002</v>
      </c>
      <c r="C11" s="67">
        <v>2.11</v>
      </c>
      <c r="D11" s="68">
        <v>2.2149999999999999</v>
      </c>
      <c r="E11" s="60"/>
      <c r="F11" s="60"/>
      <c r="G11" s="60"/>
      <c r="H11" s="60"/>
      <c r="I11" s="60"/>
      <c r="J11" s="60"/>
    </row>
    <row r="12" spans="1:10" ht="15.75" customHeight="1">
      <c r="A12" s="61">
        <v>10</v>
      </c>
      <c r="B12" s="62">
        <v>2.7639999999999998</v>
      </c>
      <c r="C12" s="69">
        <v>2.1760000000000002</v>
      </c>
      <c r="D12" s="70">
        <v>2.29</v>
      </c>
      <c r="E12" s="60"/>
      <c r="F12" s="60"/>
      <c r="G12" s="60"/>
      <c r="H12" s="60"/>
      <c r="I12" s="60"/>
      <c r="J12" s="60"/>
    </row>
    <row r="13" spans="1:10" ht="15.75" customHeight="1">
      <c r="A13" s="65">
        <v>11</v>
      </c>
      <c r="B13" s="66">
        <v>2.718</v>
      </c>
      <c r="C13" s="67">
        <v>2.234</v>
      </c>
      <c r="D13" s="68">
        <v>2.355</v>
      </c>
      <c r="E13" s="60"/>
      <c r="F13" s="60"/>
      <c r="G13" s="60"/>
      <c r="H13" s="60"/>
      <c r="I13" s="60"/>
      <c r="J13" s="60"/>
    </row>
    <row r="14" spans="1:10" ht="15.75" customHeight="1">
      <c r="A14" s="61">
        <v>12</v>
      </c>
      <c r="B14" s="62">
        <v>2.681</v>
      </c>
      <c r="C14" s="69">
        <v>2.2850000000000001</v>
      </c>
      <c r="D14" s="70">
        <v>2.4119999999999999</v>
      </c>
      <c r="E14" s="60"/>
      <c r="F14" s="60"/>
      <c r="G14" s="60"/>
      <c r="H14" s="60"/>
      <c r="I14" s="60"/>
      <c r="J14" s="60"/>
    </row>
    <row r="15" spans="1:10" ht="15.75" customHeight="1">
      <c r="A15" s="65">
        <v>13</v>
      </c>
      <c r="B15" s="66">
        <v>2.65</v>
      </c>
      <c r="C15" s="67">
        <v>2.331</v>
      </c>
      <c r="D15" s="68">
        <v>2.4620000000000002</v>
      </c>
      <c r="E15" s="60"/>
      <c r="F15" s="60"/>
      <c r="G15" s="60"/>
      <c r="H15" s="60"/>
      <c r="I15" s="60"/>
      <c r="J15" s="60"/>
    </row>
    <row r="16" spans="1:10" ht="15.75" customHeight="1">
      <c r="A16" s="61">
        <v>14</v>
      </c>
      <c r="B16" s="62">
        <v>2.6240000000000001</v>
      </c>
      <c r="C16" s="69">
        <v>2.371</v>
      </c>
      <c r="D16" s="70">
        <v>2.5070000000000001</v>
      </c>
      <c r="E16" s="60"/>
      <c r="F16" s="60"/>
      <c r="G16" s="60"/>
      <c r="H16" s="60"/>
      <c r="I16" s="60"/>
      <c r="J16" s="60"/>
    </row>
    <row r="17" spans="1:10" ht="15.75" customHeight="1">
      <c r="A17" s="65">
        <v>15</v>
      </c>
      <c r="B17" s="66">
        <v>2.6019999999999999</v>
      </c>
      <c r="C17" s="67">
        <v>2.4089999999999998</v>
      </c>
      <c r="D17" s="68">
        <v>2.5489999999999999</v>
      </c>
      <c r="E17" s="60"/>
      <c r="F17" s="60"/>
      <c r="G17" s="60"/>
      <c r="H17" s="60"/>
      <c r="I17" s="60"/>
      <c r="J17" s="60"/>
    </row>
    <row r="18" spans="1:10" ht="15.75" customHeight="1">
      <c r="A18" s="61">
        <v>16</v>
      </c>
      <c r="B18" s="62">
        <v>2.5830000000000002</v>
      </c>
      <c r="C18" s="69">
        <v>2.4430000000000001</v>
      </c>
      <c r="D18" s="70">
        <v>2.585</v>
      </c>
      <c r="E18" s="60"/>
      <c r="F18" s="60"/>
      <c r="G18" s="60"/>
      <c r="H18" s="60"/>
      <c r="I18" s="60"/>
      <c r="J18" s="60"/>
    </row>
    <row r="19" spans="1:10" ht="15.75" customHeight="1">
      <c r="A19" s="65">
        <v>17</v>
      </c>
      <c r="B19" s="66">
        <v>2.5670000000000002</v>
      </c>
      <c r="C19" s="67">
        <v>2.4750000000000001</v>
      </c>
      <c r="D19" s="68">
        <v>2.62</v>
      </c>
      <c r="E19" s="60"/>
      <c r="F19" s="60"/>
      <c r="G19" s="60"/>
      <c r="H19" s="60"/>
      <c r="I19" s="60"/>
      <c r="J19" s="60"/>
    </row>
    <row r="20" spans="1:10" ht="15.75" customHeight="1">
      <c r="A20" s="61">
        <v>18</v>
      </c>
      <c r="B20" s="62">
        <v>2.552</v>
      </c>
      <c r="C20" s="69">
        <v>2.504</v>
      </c>
      <c r="D20" s="70">
        <v>2.6509999999999998</v>
      </c>
      <c r="E20" s="60"/>
      <c r="F20" s="60"/>
      <c r="G20" s="60"/>
      <c r="H20" s="60"/>
      <c r="I20" s="60"/>
      <c r="J20" s="60"/>
    </row>
    <row r="21" spans="1:10" ht="15.75" customHeight="1">
      <c r="A21" s="65">
        <v>19</v>
      </c>
      <c r="B21" s="66">
        <v>2.5390000000000001</v>
      </c>
      <c r="C21" s="67">
        <v>2.532</v>
      </c>
      <c r="D21" s="68">
        <v>2.681</v>
      </c>
      <c r="E21" s="60"/>
      <c r="F21" s="60"/>
      <c r="G21" s="60"/>
      <c r="H21" s="60"/>
      <c r="I21" s="60"/>
      <c r="J21" s="60"/>
    </row>
    <row r="22" spans="1:10" ht="15.75" customHeight="1">
      <c r="A22" s="61">
        <v>20</v>
      </c>
      <c r="B22" s="62">
        <v>2.528</v>
      </c>
      <c r="C22" s="69">
        <v>2.5569999999999999</v>
      </c>
      <c r="D22" s="70">
        <v>2.7090000000000001</v>
      </c>
      <c r="E22" s="60"/>
      <c r="F22" s="60"/>
      <c r="G22" s="60"/>
      <c r="H22" s="60"/>
      <c r="I22" s="60"/>
      <c r="J22" s="60"/>
    </row>
    <row r="23" spans="1:10" ht="15.75" customHeight="1">
      <c r="A23" s="65">
        <v>21</v>
      </c>
      <c r="B23" s="66">
        <v>2.5179999999999998</v>
      </c>
      <c r="C23" s="67">
        <v>2.58</v>
      </c>
      <c r="D23" s="68">
        <v>2.7330000000000001</v>
      </c>
      <c r="E23" s="60"/>
      <c r="F23" s="60"/>
      <c r="G23" s="60"/>
      <c r="H23" s="60"/>
      <c r="I23" s="60"/>
      <c r="J23" s="60"/>
    </row>
    <row r="24" spans="1:10" ht="15.75" customHeight="1">
      <c r="A24" s="61">
        <v>22</v>
      </c>
      <c r="B24" s="62">
        <v>2.508</v>
      </c>
      <c r="C24" s="69">
        <v>2.6030000000000002</v>
      </c>
      <c r="D24" s="70">
        <v>2.758</v>
      </c>
      <c r="E24" s="60"/>
      <c r="F24" s="60"/>
      <c r="G24" s="60"/>
      <c r="H24" s="60"/>
      <c r="I24" s="60"/>
      <c r="J24" s="60"/>
    </row>
    <row r="25" spans="1:10" ht="15.75" customHeight="1">
      <c r="A25" s="65">
        <v>23</v>
      </c>
      <c r="B25" s="66">
        <v>2.5</v>
      </c>
      <c r="C25" s="67">
        <v>2.6240000000000001</v>
      </c>
      <c r="D25" s="68">
        <v>2.7810000000000001</v>
      </c>
      <c r="E25" s="60"/>
      <c r="F25" s="60"/>
      <c r="G25" s="60"/>
      <c r="H25" s="60"/>
      <c r="I25" s="60"/>
      <c r="J25" s="60"/>
    </row>
    <row r="26" spans="1:10" ht="15.75" customHeight="1">
      <c r="A26" s="61">
        <v>24</v>
      </c>
      <c r="B26" s="62">
        <v>2.492</v>
      </c>
      <c r="C26" s="69">
        <v>2.6440000000000001</v>
      </c>
      <c r="D26" s="70">
        <v>2.802</v>
      </c>
      <c r="E26" s="60"/>
      <c r="F26" s="60"/>
      <c r="G26" s="60"/>
      <c r="H26" s="60"/>
      <c r="I26" s="60"/>
      <c r="J26" s="60"/>
    </row>
    <row r="27" spans="1:10" ht="15.75" customHeight="1">
      <c r="A27" s="65">
        <v>25</v>
      </c>
      <c r="B27" s="66">
        <v>2.4849999999999999</v>
      </c>
      <c r="C27" s="67">
        <v>2.6629999999999998</v>
      </c>
      <c r="D27" s="68">
        <v>2.8220000000000001</v>
      </c>
      <c r="E27" s="60"/>
      <c r="F27" s="60"/>
      <c r="G27" s="60"/>
      <c r="H27" s="60"/>
      <c r="I27" s="60"/>
      <c r="J27" s="60"/>
    </row>
    <row r="28" spans="1:10" ht="15.75" customHeight="1">
      <c r="A28" s="61">
        <v>26</v>
      </c>
      <c r="B28" s="62">
        <v>2.4790000000000001</v>
      </c>
      <c r="C28" s="69">
        <v>2.681</v>
      </c>
      <c r="D28" s="70">
        <v>2.8410000000000002</v>
      </c>
      <c r="E28" s="60"/>
      <c r="F28" s="60"/>
      <c r="G28" s="60"/>
      <c r="H28" s="60"/>
      <c r="I28" s="60"/>
      <c r="J28" s="60"/>
    </row>
    <row r="29" spans="1:10" ht="15.75" customHeight="1">
      <c r="A29" s="65">
        <v>27</v>
      </c>
      <c r="B29" s="66">
        <v>2.4729999999999999</v>
      </c>
      <c r="C29" s="67">
        <v>2.698</v>
      </c>
      <c r="D29" s="68">
        <v>2.859</v>
      </c>
      <c r="E29" s="60"/>
      <c r="F29" s="60"/>
      <c r="G29" s="60"/>
      <c r="H29" s="60"/>
      <c r="I29" s="60"/>
      <c r="J29" s="60"/>
    </row>
    <row r="30" spans="1:10" ht="15.75" customHeight="1">
      <c r="A30" s="61">
        <v>28</v>
      </c>
      <c r="B30" s="62">
        <v>2.4670000000000001</v>
      </c>
      <c r="C30" s="69">
        <v>2.714</v>
      </c>
      <c r="D30" s="70">
        <v>2.8759999999999999</v>
      </c>
      <c r="E30" s="60"/>
      <c r="F30" s="60"/>
      <c r="G30" s="60"/>
      <c r="H30" s="60"/>
      <c r="I30" s="60"/>
      <c r="J30" s="60"/>
    </row>
    <row r="31" spans="1:10" ht="15.75" customHeight="1">
      <c r="A31" s="65">
        <v>29</v>
      </c>
      <c r="B31" s="66">
        <v>2.4620000000000002</v>
      </c>
      <c r="C31" s="67">
        <v>2.73</v>
      </c>
      <c r="D31" s="68">
        <v>2.8929999999999998</v>
      </c>
      <c r="E31" s="60"/>
      <c r="F31" s="60"/>
      <c r="G31" s="60"/>
      <c r="H31" s="60"/>
      <c r="I31" s="60"/>
      <c r="J31" s="60"/>
    </row>
    <row r="32" spans="1:10" ht="15.75" customHeight="1">
      <c r="A32" s="61">
        <v>30</v>
      </c>
      <c r="B32" s="62">
        <v>2.4569999999999999</v>
      </c>
      <c r="C32" s="69">
        <v>2.7450000000000001</v>
      </c>
      <c r="D32" s="70">
        <v>2.9079999999999999</v>
      </c>
      <c r="E32" s="60"/>
      <c r="F32" s="60"/>
      <c r="G32" s="60"/>
      <c r="H32" s="60"/>
      <c r="I32" s="60"/>
      <c r="J32" s="60"/>
    </row>
    <row r="33" spans="1:10" ht="15.75" customHeight="1">
      <c r="A33" s="65">
        <v>40</v>
      </c>
      <c r="B33" s="66">
        <v>2.423</v>
      </c>
      <c r="C33" s="67">
        <v>2.8660000000000001</v>
      </c>
      <c r="D33" s="68">
        <v>3.036</v>
      </c>
      <c r="E33" s="60"/>
      <c r="F33" s="60"/>
      <c r="G33" s="60"/>
      <c r="H33" s="60"/>
      <c r="I33" s="60"/>
      <c r="J33" s="60"/>
    </row>
    <row r="34" spans="1:10" ht="15.75" customHeight="1">
      <c r="A34" s="61">
        <v>50</v>
      </c>
      <c r="B34" s="62">
        <v>2.403</v>
      </c>
      <c r="C34" s="69">
        <v>2.956</v>
      </c>
      <c r="D34" s="70">
        <v>3.1280000000000001</v>
      </c>
      <c r="E34" s="60"/>
      <c r="F34" s="60"/>
      <c r="G34" s="60"/>
      <c r="H34" s="60"/>
      <c r="I34" s="60"/>
      <c r="J34" s="60"/>
    </row>
    <row r="35" spans="1:10" ht="15.75" customHeight="1">
      <c r="A35" s="65">
        <v>60</v>
      </c>
      <c r="B35" s="66">
        <v>2.39</v>
      </c>
      <c r="C35" s="67">
        <v>3.0249999999999999</v>
      </c>
      <c r="D35" s="68">
        <v>3.1989999999999998</v>
      </c>
      <c r="E35" s="60"/>
      <c r="F35" s="60"/>
      <c r="G35" s="60"/>
      <c r="H35" s="60"/>
      <c r="I35" s="60"/>
      <c r="J35" s="60"/>
    </row>
    <row r="36" spans="1:10" ht="15.75" customHeight="1">
      <c r="A36" s="61">
        <v>80</v>
      </c>
      <c r="B36" s="62">
        <v>2.3740000000000001</v>
      </c>
      <c r="C36" s="69">
        <v>3.13</v>
      </c>
      <c r="D36" s="70">
        <v>3.3105000000000002</v>
      </c>
      <c r="E36" s="60"/>
      <c r="F36" s="60"/>
      <c r="G36" s="60"/>
      <c r="H36" s="60"/>
      <c r="I36" s="60"/>
      <c r="J36" s="60"/>
    </row>
    <row r="37" spans="1:10" ht="15.75" customHeight="1">
      <c r="A37" s="65">
        <v>100</v>
      </c>
      <c r="B37" s="66">
        <v>2.3639999999999999</v>
      </c>
      <c r="C37" s="67">
        <v>3.2069999999999999</v>
      </c>
      <c r="D37" s="68">
        <v>3.383</v>
      </c>
      <c r="E37" s="60"/>
      <c r="F37" s="60"/>
      <c r="G37" s="60"/>
      <c r="H37" s="60"/>
      <c r="I37" s="60"/>
      <c r="J37" s="60"/>
    </row>
    <row r="38" spans="1:10" ht="15.75" customHeight="1">
      <c r="A38" s="61">
        <v>150</v>
      </c>
      <c r="B38" s="62">
        <v>2.3519999999999999</v>
      </c>
      <c r="C38" s="69">
        <v>3.35</v>
      </c>
      <c r="D38" s="70">
        <v>3.5150000000000001</v>
      </c>
      <c r="E38" s="60"/>
      <c r="F38" s="60"/>
      <c r="G38" s="60"/>
      <c r="H38" s="60"/>
      <c r="I38" s="60"/>
      <c r="J38" s="60"/>
    </row>
    <row r="39" spans="1:10" ht="15.75" customHeight="1">
      <c r="A39" s="65">
        <v>200</v>
      </c>
      <c r="B39" s="66">
        <v>2.3450000000000002</v>
      </c>
      <c r="C39" s="67">
        <v>3.5</v>
      </c>
      <c r="D39" s="68">
        <v>3.7</v>
      </c>
      <c r="E39" s="60"/>
      <c r="F39" s="60"/>
      <c r="G39" s="60"/>
      <c r="H39" s="60"/>
      <c r="I39" s="60"/>
      <c r="J39" s="60"/>
    </row>
    <row r="40" spans="1:10" ht="15.75" customHeight="1">
      <c r="A40" s="71">
        <v>1000</v>
      </c>
      <c r="B40" s="72">
        <v>2.33</v>
      </c>
      <c r="C40" s="73">
        <v>4</v>
      </c>
      <c r="D40" s="74">
        <v>4.5</v>
      </c>
      <c r="E40" s="60"/>
      <c r="F40" s="60"/>
      <c r="G40" s="60"/>
      <c r="H40" s="60"/>
      <c r="I40" s="60"/>
      <c r="J40" s="60"/>
    </row>
    <row r="41" spans="1:10" ht="19.149999999999999" customHeight="1">
      <c r="A41" s="75"/>
      <c r="B41" s="75"/>
      <c r="C41" s="76"/>
      <c r="D41" s="76"/>
      <c r="E41" s="77"/>
      <c r="F41" s="77"/>
      <c r="G41" s="77"/>
      <c r="H41" s="77"/>
      <c r="I41" s="77"/>
      <c r="J41" s="77"/>
    </row>
    <row r="42" spans="1:10" ht="222.4" customHeight="1">
      <c r="A42" s="78"/>
      <c r="B42" s="79"/>
      <c r="C42" s="80"/>
      <c r="D42" s="80"/>
      <c r="E42" s="81"/>
      <c r="F42" s="81"/>
      <c r="G42" s="81"/>
      <c r="H42" s="81"/>
      <c r="I42" s="81"/>
      <c r="J42" s="77"/>
    </row>
  </sheetData>
  <sheetProtection algorithmName="SHA-512" hashValue="347Jf9TL3m48LDSGCnG3/PjWCX8q8aRoMVPb/ZksoR3gKmMEEmQoAIe9rZxxRQ5Bmy7FKaPJ0KPGUDqwC7svaw==" saltValue="ieKBhAse6exqh0m7LiZqcQ==" spinCount="100000" sheet="1" objects="1" scenarios="1"/>
  <mergeCells count="2">
    <mergeCell ref="A1:B1"/>
    <mergeCell ref="C1:D1"/>
  </mergeCells>
  <pageMargins left="1" right="1" top="1.15696" bottom="1" header="0" footer="0"/>
  <pageSetup scale="77" orientation="portrait"/>
  <headerFooter>
    <oddFooter>&amp;C&amp;"Helvetica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9"/>
  <sheetViews>
    <sheetView showGridLines="0" showRowColHeaders="0" workbookViewId="0">
      <pane xSplit="2" topLeftCell="XFD1" activePane="topRight" state="frozen"/>
      <selection pane="topRight" activeCell="A20" sqref="A20:XFD1048576"/>
    </sheetView>
  </sheetViews>
  <sheetFormatPr defaultColWidth="0" defaultRowHeight="15" customHeight="1" zeroHeight="1"/>
  <cols>
    <col min="1" max="1" width="15.875" style="82" customWidth="1"/>
    <col min="2" max="2" width="23.75" style="82" customWidth="1"/>
    <col min="3" max="3" width="0.375" style="82" customWidth="1"/>
    <col min="4" max="16384" width="8.875" style="82" hidden="1"/>
  </cols>
  <sheetData>
    <row r="1" spans="1:2" ht="21" customHeight="1">
      <c r="A1" s="83" t="s">
        <v>82</v>
      </c>
      <c r="B1" s="84" t="s">
        <v>83</v>
      </c>
    </row>
    <row r="2" spans="1:2" ht="14.25" customHeight="1">
      <c r="A2" s="85" t="s">
        <v>84</v>
      </c>
      <c r="B2" s="86">
        <v>1000000</v>
      </c>
    </row>
    <row r="3" spans="1:2" ht="13.5" customHeight="1">
      <c r="A3" s="87" t="s">
        <v>85</v>
      </c>
      <c r="B3" s="88">
        <v>1000000000</v>
      </c>
    </row>
    <row r="4" spans="1:2" ht="13.5" customHeight="1">
      <c r="A4" s="87" t="s">
        <v>86</v>
      </c>
      <c r="B4" s="89">
        <v>1000000000000</v>
      </c>
    </row>
    <row r="5" spans="1:2" ht="13.5" customHeight="1">
      <c r="A5" s="87" t="s">
        <v>87</v>
      </c>
      <c r="B5" s="89">
        <v>1000000</v>
      </c>
    </row>
    <row r="6" spans="1:2" ht="13.5" customHeight="1">
      <c r="A6" s="87" t="s">
        <v>7</v>
      </c>
      <c r="B6" s="89">
        <v>1000000000</v>
      </c>
    </row>
    <row r="7" spans="1:2" ht="13.5" customHeight="1">
      <c r="A7" s="87" t="s">
        <v>88</v>
      </c>
      <c r="B7" s="89">
        <v>1000000000000</v>
      </c>
    </row>
    <row r="8" spans="1:2" ht="14.25" customHeight="1">
      <c r="A8" s="90" t="s">
        <v>89</v>
      </c>
      <c r="B8" s="89">
        <v>1000000</v>
      </c>
    </row>
    <row r="9" spans="1:2" ht="14.25" customHeight="1">
      <c r="A9" s="91" t="s">
        <v>90</v>
      </c>
      <c r="B9" s="89">
        <v>1000000000</v>
      </c>
    </row>
    <row r="10" spans="1:2" ht="14.25" customHeight="1">
      <c r="A10" s="91" t="s">
        <v>91</v>
      </c>
      <c r="B10" s="89">
        <v>1000000000000</v>
      </c>
    </row>
    <row r="11" spans="1:2" ht="14.25" customHeight="1">
      <c r="A11" s="91" t="s">
        <v>92</v>
      </c>
      <c r="B11" s="89">
        <v>1000000000000000</v>
      </c>
    </row>
    <row r="12" spans="1:2" ht="14.25" customHeight="1">
      <c r="A12" s="91" t="s">
        <v>93</v>
      </c>
      <c r="B12" s="89">
        <v>100</v>
      </c>
    </row>
    <row r="13" spans="1:2" ht="16.5" customHeight="1">
      <c r="A13" s="91" t="s">
        <v>94</v>
      </c>
      <c r="B13" s="92">
        <v>100</v>
      </c>
    </row>
    <row r="14" spans="1:2" ht="16.5" customHeight="1">
      <c r="A14" s="91" t="s">
        <v>95</v>
      </c>
      <c r="B14" s="93">
        <v>568</v>
      </c>
    </row>
    <row r="15" spans="1:2" ht="14.25" customHeight="1">
      <c r="A15" s="94"/>
      <c r="B15" s="95"/>
    </row>
    <row r="16" spans="1:2" ht="15" customHeight="1">
      <c r="A16" s="96"/>
      <c r="B16" s="97"/>
    </row>
    <row r="17" spans="1:2" ht="15" customHeight="1">
      <c r="A17" s="98"/>
      <c r="B17" s="99"/>
    </row>
    <row r="18" spans="1:2" ht="15" customHeight="1">
      <c r="A18" s="98"/>
      <c r="B18" s="99"/>
    </row>
    <row r="19" spans="1:2" ht="15" customHeight="1">
      <c r="A19" s="46"/>
      <c r="B19" s="47"/>
    </row>
  </sheetData>
  <sheetProtection algorithmName="SHA-512" hashValue="hCCuWl6xQvWO+nNlu7gVhg/GjJNYzKO6tAtqRPAiGHIJQMZC3okAYmb+67OIrMtwleGaB9XCiNe+i2wppzvSBA==" saltValue="k2a9kaXlk79rgIGuSyEadw==" spinCount="100000" sheet="1" objects="1" scenarios="1"/>
  <pageMargins left="1" right="1" top="1.19685" bottom="1" header="0" footer="0"/>
  <pageSetup orientation="portrait"/>
  <headerFooter>
    <oddFooter>&amp;C&amp;"Helvetica Neue,Regular"&amp;12&amp;K000000&amp;P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showGridLines="0" showRowColHeaders="0" tabSelected="1" workbookViewId="0">
      <pane xSplit="3" topLeftCell="D5" activePane="topRight" state="frozen"/>
      <selection pane="topRight" activeCell="A10" sqref="A10"/>
    </sheetView>
  </sheetViews>
  <sheetFormatPr defaultColWidth="0" defaultRowHeight="13.5" customHeight="1" zeroHeight="1"/>
  <cols>
    <col min="1" max="1" width="114" style="100" customWidth="1"/>
    <col min="2" max="3" width="8.875" style="100" hidden="1" customWidth="1"/>
    <col min="4" max="4" width="0.125" style="100" customWidth="1"/>
    <col min="5" max="5" width="3" style="100" hidden="1" customWidth="1"/>
    <col min="6" max="6" width="7.125" style="100" hidden="1" customWidth="1"/>
    <col min="7" max="7" width="1.75" style="100" hidden="1" customWidth="1"/>
    <col min="8" max="16384" width="6.5" style="100" hidden="1"/>
  </cols>
  <sheetData>
    <row r="1" spans="1:7" ht="77.25" customHeight="1">
      <c r="A1" s="101" t="s">
        <v>96</v>
      </c>
      <c r="B1" s="44"/>
      <c r="C1" s="44"/>
      <c r="D1" s="44"/>
      <c r="E1" s="44"/>
      <c r="F1" s="44"/>
      <c r="G1" s="44"/>
    </row>
    <row r="2" spans="1:7" ht="29.65" customHeight="1">
      <c r="A2" s="102" t="s">
        <v>97</v>
      </c>
      <c r="B2" s="45"/>
      <c r="C2" s="45"/>
      <c r="D2" s="45"/>
      <c r="E2" s="45"/>
      <c r="F2" s="45"/>
      <c r="G2" s="45"/>
    </row>
    <row r="3" spans="1:7" ht="49.15" customHeight="1">
      <c r="A3" s="103" t="s">
        <v>98</v>
      </c>
      <c r="B3" s="45"/>
      <c r="C3" s="45"/>
      <c r="D3" s="45"/>
      <c r="E3" s="45"/>
      <c r="F3" s="45"/>
      <c r="G3" s="45"/>
    </row>
    <row r="4" spans="1:7" ht="39.6" customHeight="1">
      <c r="A4" s="104" t="s">
        <v>99</v>
      </c>
      <c r="B4" s="45"/>
      <c r="C4" s="45"/>
      <c r="D4" s="45"/>
      <c r="E4" s="45"/>
      <c r="F4" s="45"/>
      <c r="G4" s="45"/>
    </row>
    <row r="5" spans="1:7" ht="387" customHeight="1">
      <c r="A5" s="104" t="s">
        <v>100</v>
      </c>
      <c r="B5" s="45"/>
      <c r="C5" s="45"/>
      <c r="D5" s="45"/>
      <c r="E5" s="45"/>
      <c r="F5" s="45"/>
      <c r="G5" s="45"/>
    </row>
    <row r="6" spans="1:7" ht="74.849999999999994" customHeight="1">
      <c r="A6" s="104" t="s">
        <v>101</v>
      </c>
      <c r="B6" s="45"/>
      <c r="C6" s="45"/>
      <c r="D6" s="45"/>
      <c r="E6" s="45"/>
      <c r="F6" s="45"/>
      <c r="G6" s="45"/>
    </row>
    <row r="7" spans="1:7" ht="22.9" customHeight="1">
      <c r="A7" s="101" t="s">
        <v>102</v>
      </c>
      <c r="B7" s="45"/>
      <c r="C7" s="45"/>
      <c r="D7" s="45"/>
      <c r="E7" s="45"/>
      <c r="F7" s="45"/>
      <c r="G7" s="45"/>
    </row>
    <row r="8" spans="1:7" ht="24" customHeight="1">
      <c r="A8" s="105" t="s">
        <v>103</v>
      </c>
      <c r="B8" s="45"/>
      <c r="C8" s="45"/>
      <c r="D8" s="45"/>
      <c r="E8" s="45"/>
      <c r="F8" s="45"/>
      <c r="G8" s="45"/>
    </row>
    <row r="9" spans="1:7" ht="38.25" customHeight="1">
      <c r="A9" s="101" t="s">
        <v>104</v>
      </c>
      <c r="B9" s="45"/>
      <c r="C9" s="45"/>
      <c r="D9" s="45"/>
      <c r="E9" s="45"/>
      <c r="F9" s="45"/>
      <c r="G9" s="45"/>
    </row>
    <row r="10" spans="1:7" ht="46.9" customHeight="1">
      <c r="A10" s="102" t="s">
        <v>105</v>
      </c>
      <c r="B10" s="45"/>
      <c r="C10" s="45"/>
      <c r="D10" s="45"/>
      <c r="E10" s="45"/>
      <c r="F10" s="45"/>
      <c r="G10" s="45"/>
    </row>
    <row r="11" spans="1:7" ht="13.5" customHeight="1">
      <c r="A11" s="106" t="s">
        <v>106</v>
      </c>
      <c r="B11" s="45"/>
      <c r="C11" s="45"/>
      <c r="D11" s="45"/>
      <c r="E11" s="45"/>
      <c r="F11" s="45"/>
      <c r="G11" s="45"/>
    </row>
    <row r="12" spans="1:7" ht="9" customHeight="1">
      <c r="A12" s="107"/>
      <c r="B12" s="48"/>
      <c r="C12" s="48"/>
      <c r="D12" s="48"/>
      <c r="E12" s="48"/>
      <c r="F12" s="48"/>
      <c r="G12" s="48"/>
    </row>
  </sheetData>
  <sheetProtection sheet="1" objects="1" scenarios="1"/>
  <pageMargins left="0.45" right="0.7" top="1.5" bottom="0.75" header="0.3" footer="0.3"/>
  <pageSetup scale="80"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Tim Strutt</cp:lastModifiedBy>
  <cp:revision/>
  <dcterms:created xsi:type="dcterms:W3CDTF">2026-06-02T04:30:17Z</dcterms:created>
  <dcterms:modified xsi:type="dcterms:W3CDTF">2026-06-02T07:30:12Z</dcterms:modified>
  <cp:category/>
  <cp:contentStatus/>
</cp:coreProperties>
</file>